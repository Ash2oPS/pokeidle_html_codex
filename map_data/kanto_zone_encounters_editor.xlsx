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uide" state="visible" r:id="rId4"/>
    <sheet sheetId="2" name="Lists" state="veryHidden" r:id="rId5"/>
    <sheet sheetId="3" name="PokemonRef" state="veryHidden" r:id="rId6"/>
    <sheet sheetId="4" name="Encounters" state="visible" r:id="rId7"/>
  </sheets>
  <calcPr calcId="171027"/>
</workbook>
</file>

<file path=xl/sharedStrings.xml><?xml version="1.0" encoding="utf-8"?>
<sst xmlns="http://schemas.openxmlformats.org/spreadsheetml/2006/main" count="3767" uniqueCount="1115">
  <si>
    <t>Edition des rencontres</t>
  </si>
  <si>
    <t>Utilise la feuille Encounters. Saisis pokemon_id, poids, niveaux et method_1/2/3. Les noms et methods se remplissent automatiquement.</t>
  </si>
  <si>
    <t>Ensuite exporte vers le CSV runtime avec: npm run zone:editor:export</t>
  </si>
  <si>
    <t>zone_type</t>
  </si>
  <si>
    <t>combat_enabled</t>
  </si>
  <si>
    <t>encounter_method</t>
  </si>
  <si>
    <t>route</t>
  </si>
  <si>
    <t>true</t>
  </si>
  <si>
    <t>walk</t>
  </si>
  <si>
    <t>city</t>
  </si>
  <si>
    <t>false</t>
  </si>
  <si>
    <t>surf</t>
  </si>
  <si>
    <t>dungeon</t>
  </si>
  <si>
    <t>old-rod</t>
  </si>
  <si>
    <t>good-rod</t>
  </si>
  <si>
    <t>super-rod</t>
  </si>
  <si>
    <t>gift</t>
  </si>
  <si>
    <t>only-one</t>
  </si>
  <si>
    <t>pokeflute</t>
  </si>
  <si>
    <t>rock-smash</t>
  </si>
  <si>
    <t>pokemon_id</t>
  </si>
  <si>
    <t>pokemon_name_en</t>
  </si>
  <si>
    <t>pokemon_name_fr</t>
  </si>
  <si>
    <t>bulbasaur</t>
  </si>
  <si>
    <t>Bulbizarre</t>
  </si>
  <si>
    <t>ivysaur</t>
  </si>
  <si>
    <t>Herbizarre</t>
  </si>
  <si>
    <t>venusaur</t>
  </si>
  <si>
    <t>Florizarre</t>
  </si>
  <si>
    <t>charmander</t>
  </si>
  <si>
    <t>Salamèche</t>
  </si>
  <si>
    <t>charmeleon</t>
  </si>
  <si>
    <t>Reptincel</t>
  </si>
  <si>
    <t>charizard</t>
  </si>
  <si>
    <t>Dracaufeu</t>
  </si>
  <si>
    <t>squirtle</t>
  </si>
  <si>
    <t>Carapuce</t>
  </si>
  <si>
    <t>wartortle</t>
  </si>
  <si>
    <t>Carabaffe</t>
  </si>
  <si>
    <t>blastoise</t>
  </si>
  <si>
    <t>Tortank</t>
  </si>
  <si>
    <t>caterpie</t>
  </si>
  <si>
    <t>Chenipan</t>
  </si>
  <si>
    <t>metapod</t>
  </si>
  <si>
    <t>Chrysacier</t>
  </si>
  <si>
    <t>butterfree</t>
  </si>
  <si>
    <t>Papilusion</t>
  </si>
  <si>
    <t>weedle</t>
  </si>
  <si>
    <t>Aspicot</t>
  </si>
  <si>
    <t>kakuna</t>
  </si>
  <si>
    <t>Coconfort</t>
  </si>
  <si>
    <t>beedrill</t>
  </si>
  <si>
    <t>Dardargnan</t>
  </si>
  <si>
    <t>pidgey</t>
  </si>
  <si>
    <t>Roucool</t>
  </si>
  <si>
    <t>pidgeotto</t>
  </si>
  <si>
    <t>Roucoups</t>
  </si>
  <si>
    <t>pidgeot</t>
  </si>
  <si>
    <t>Roucarnage</t>
  </si>
  <si>
    <t>rattata</t>
  </si>
  <si>
    <t>Rattata</t>
  </si>
  <si>
    <t>raticate</t>
  </si>
  <si>
    <t>Rattatac</t>
  </si>
  <si>
    <t>spearow</t>
  </si>
  <si>
    <t>Piafabec</t>
  </si>
  <si>
    <t>fearow</t>
  </si>
  <si>
    <t>Rapasdepic</t>
  </si>
  <si>
    <t>ekans</t>
  </si>
  <si>
    <t>Abo</t>
  </si>
  <si>
    <t>arbok</t>
  </si>
  <si>
    <t>Arbok</t>
  </si>
  <si>
    <t>pikachu</t>
  </si>
  <si>
    <t>Pikachu</t>
  </si>
  <si>
    <t>raichu</t>
  </si>
  <si>
    <t>Raichu</t>
  </si>
  <si>
    <t>sandshrew</t>
  </si>
  <si>
    <t>Sabelette</t>
  </si>
  <si>
    <t>sandslash</t>
  </si>
  <si>
    <t>Sablaireau</t>
  </si>
  <si>
    <t>nidoran-f</t>
  </si>
  <si>
    <t>Nidoran♀</t>
  </si>
  <si>
    <t>nidorina</t>
  </si>
  <si>
    <t>Nidorina</t>
  </si>
  <si>
    <t>nidoqueen</t>
  </si>
  <si>
    <t>Nidoqueen</t>
  </si>
  <si>
    <t>nidoran-m</t>
  </si>
  <si>
    <t>Nidoran♂</t>
  </si>
  <si>
    <t>nidorino</t>
  </si>
  <si>
    <t>Nidorino</t>
  </si>
  <si>
    <t>nidoking</t>
  </si>
  <si>
    <t>Nidoking</t>
  </si>
  <si>
    <t>clefairy</t>
  </si>
  <si>
    <t>Mélofée</t>
  </si>
  <si>
    <t>clefable</t>
  </si>
  <si>
    <t>Mélodelfe</t>
  </si>
  <si>
    <t>vulpix</t>
  </si>
  <si>
    <t>Goupix</t>
  </si>
  <si>
    <t>ninetales</t>
  </si>
  <si>
    <t>Feunard</t>
  </si>
  <si>
    <t>jigglypuff</t>
  </si>
  <si>
    <t>Rondoudou</t>
  </si>
  <si>
    <t>wigglytuff</t>
  </si>
  <si>
    <t>Grodoudou</t>
  </si>
  <si>
    <t>zubat</t>
  </si>
  <si>
    <t>Nosferapti</t>
  </si>
  <si>
    <t>golbat</t>
  </si>
  <si>
    <t>Nosferalto</t>
  </si>
  <si>
    <t>oddish</t>
  </si>
  <si>
    <t>Mystherbe</t>
  </si>
  <si>
    <t>gloom</t>
  </si>
  <si>
    <t>Ortide</t>
  </si>
  <si>
    <t>vileplume</t>
  </si>
  <si>
    <t>Rafflesia</t>
  </si>
  <si>
    <t>paras</t>
  </si>
  <si>
    <t>Paras</t>
  </si>
  <si>
    <t>parasect</t>
  </si>
  <si>
    <t>Parasect</t>
  </si>
  <si>
    <t>venonat</t>
  </si>
  <si>
    <t>Mimitoss</t>
  </si>
  <si>
    <t>venomoth</t>
  </si>
  <si>
    <t>Aéromite</t>
  </si>
  <si>
    <t>diglett</t>
  </si>
  <si>
    <t>Taupiqueur</t>
  </si>
  <si>
    <t>dugtrio</t>
  </si>
  <si>
    <t>Triopikeur</t>
  </si>
  <si>
    <t>meowth</t>
  </si>
  <si>
    <t>Miaouss</t>
  </si>
  <si>
    <t>persian</t>
  </si>
  <si>
    <t>Persian</t>
  </si>
  <si>
    <t>psyduck</t>
  </si>
  <si>
    <t>Psykokwak</t>
  </si>
  <si>
    <t>golduck</t>
  </si>
  <si>
    <t>Akwakwak</t>
  </si>
  <si>
    <t>mankey</t>
  </si>
  <si>
    <t>Férosinge</t>
  </si>
  <si>
    <t>primeape</t>
  </si>
  <si>
    <t>Colossinge</t>
  </si>
  <si>
    <t>growlithe</t>
  </si>
  <si>
    <t>Caninos</t>
  </si>
  <si>
    <t>arcanine</t>
  </si>
  <si>
    <t>Arcanin</t>
  </si>
  <si>
    <t>poliwag</t>
  </si>
  <si>
    <t>Ptitard</t>
  </si>
  <si>
    <t>poliwhirl</t>
  </si>
  <si>
    <t>Têtarte</t>
  </si>
  <si>
    <t>poliwrath</t>
  </si>
  <si>
    <t>Tartard</t>
  </si>
  <si>
    <t>abra</t>
  </si>
  <si>
    <t>Abra</t>
  </si>
  <si>
    <t>kadabra</t>
  </si>
  <si>
    <t>Kadabra</t>
  </si>
  <si>
    <t>alakazam</t>
  </si>
  <si>
    <t>Alakazam</t>
  </si>
  <si>
    <t>machop</t>
  </si>
  <si>
    <t>Machoc</t>
  </si>
  <si>
    <t>machoke</t>
  </si>
  <si>
    <t>Machopeur</t>
  </si>
  <si>
    <t>machamp</t>
  </si>
  <si>
    <t>Mackogneur</t>
  </si>
  <si>
    <t>bellsprout</t>
  </si>
  <si>
    <t>Chétiflor</t>
  </si>
  <si>
    <t>weepinbell</t>
  </si>
  <si>
    <t>Boustiflor</t>
  </si>
  <si>
    <t>victreebel</t>
  </si>
  <si>
    <t>Empiflor</t>
  </si>
  <si>
    <t>tentacool</t>
  </si>
  <si>
    <t>Tentacool</t>
  </si>
  <si>
    <t>tentacruel</t>
  </si>
  <si>
    <t>Tentacruel</t>
  </si>
  <si>
    <t>geodude</t>
  </si>
  <si>
    <t>Racaillou</t>
  </si>
  <si>
    <t>graveler</t>
  </si>
  <si>
    <t>Gravalanch</t>
  </si>
  <si>
    <t>golem</t>
  </si>
  <si>
    <t>Grolem</t>
  </si>
  <si>
    <t>ponyta</t>
  </si>
  <si>
    <t>Ponyta</t>
  </si>
  <si>
    <t>rapidash</t>
  </si>
  <si>
    <t>Galopa</t>
  </si>
  <si>
    <t>slowpoke</t>
  </si>
  <si>
    <t>Ramoloss</t>
  </si>
  <si>
    <t>slowbro</t>
  </si>
  <si>
    <t>Flagadoss</t>
  </si>
  <si>
    <t>magnemite</t>
  </si>
  <si>
    <t>Magnéti</t>
  </si>
  <si>
    <t>magneton</t>
  </si>
  <si>
    <t>Magnéton</t>
  </si>
  <si>
    <t>farfetchd</t>
  </si>
  <si>
    <t>Canarticho</t>
  </si>
  <si>
    <t>doduo</t>
  </si>
  <si>
    <t>Doduo</t>
  </si>
  <si>
    <t>dodrio</t>
  </si>
  <si>
    <t>Dodrio</t>
  </si>
  <si>
    <t>seel</t>
  </si>
  <si>
    <t>Otaria</t>
  </si>
  <si>
    <t>dewgong</t>
  </si>
  <si>
    <t>Lamantine</t>
  </si>
  <si>
    <t>grimer</t>
  </si>
  <si>
    <t>Tadmorv</t>
  </si>
  <si>
    <t>muk</t>
  </si>
  <si>
    <t>Grotadmorv</t>
  </si>
  <si>
    <t>shellder</t>
  </si>
  <si>
    <t>Kokiyas</t>
  </si>
  <si>
    <t>cloyster</t>
  </si>
  <si>
    <t>Crustabri</t>
  </si>
  <si>
    <t>gastly</t>
  </si>
  <si>
    <t>Fantominus</t>
  </si>
  <si>
    <t>haunter</t>
  </si>
  <si>
    <t>Spectrum</t>
  </si>
  <si>
    <t>gengar</t>
  </si>
  <si>
    <t>Ectoplasma</t>
  </si>
  <si>
    <t>onix</t>
  </si>
  <si>
    <t>Onix</t>
  </si>
  <si>
    <t>drowzee</t>
  </si>
  <si>
    <t>Soporifik</t>
  </si>
  <si>
    <t>hypno</t>
  </si>
  <si>
    <t>Hypnomade</t>
  </si>
  <si>
    <t>krabby</t>
  </si>
  <si>
    <t>Krabby</t>
  </si>
  <si>
    <t>kingler</t>
  </si>
  <si>
    <t>Krabboss</t>
  </si>
  <si>
    <t>voltorb</t>
  </si>
  <si>
    <t>Voltorbe</t>
  </si>
  <si>
    <t>electrode</t>
  </si>
  <si>
    <t>Électrode</t>
  </si>
  <si>
    <t>exeggcute</t>
  </si>
  <si>
    <t>Noeunoeuf</t>
  </si>
  <si>
    <t>exeggutor</t>
  </si>
  <si>
    <t>Noadkoko</t>
  </si>
  <si>
    <t>cubone</t>
  </si>
  <si>
    <t>Osselait</t>
  </si>
  <si>
    <t>marowak</t>
  </si>
  <si>
    <t>Ossatueur</t>
  </si>
  <si>
    <t>hitmonlee</t>
  </si>
  <si>
    <t>Kicklee</t>
  </si>
  <si>
    <t>hitmonchan</t>
  </si>
  <si>
    <t>Tygnon</t>
  </si>
  <si>
    <t>lickitung</t>
  </si>
  <si>
    <t>Excelangue</t>
  </si>
  <si>
    <t>koffing</t>
  </si>
  <si>
    <t>Smogo</t>
  </si>
  <si>
    <t>weezing</t>
  </si>
  <si>
    <t>Smogogo</t>
  </si>
  <si>
    <t>rhyhorn</t>
  </si>
  <si>
    <t>Rhinocorne</t>
  </si>
  <si>
    <t>rhydon</t>
  </si>
  <si>
    <t>Rhinoféros</t>
  </si>
  <si>
    <t>chansey</t>
  </si>
  <si>
    <t>Leveinard</t>
  </si>
  <si>
    <t>tangela</t>
  </si>
  <si>
    <t>Saquedeneu</t>
  </si>
  <si>
    <t>kangaskhan</t>
  </si>
  <si>
    <t>Kangourex</t>
  </si>
  <si>
    <t>horsea</t>
  </si>
  <si>
    <t>Hypotrempe</t>
  </si>
  <si>
    <t>seadra</t>
  </si>
  <si>
    <t>Hypocéan</t>
  </si>
  <si>
    <t>goldeen</t>
  </si>
  <si>
    <t>Poissirène</t>
  </si>
  <si>
    <t>seaking</t>
  </si>
  <si>
    <t>Poissoroy</t>
  </si>
  <si>
    <t>staryu</t>
  </si>
  <si>
    <t>Stari</t>
  </si>
  <si>
    <t>starmie</t>
  </si>
  <si>
    <t>Staross</t>
  </si>
  <si>
    <t>mr-mime</t>
  </si>
  <si>
    <t>M. Mime</t>
  </si>
  <si>
    <t>scyther</t>
  </si>
  <si>
    <t>Insécateur</t>
  </si>
  <si>
    <t>jynx</t>
  </si>
  <si>
    <t>Lippoutou</t>
  </si>
  <si>
    <t>electabuzz</t>
  </si>
  <si>
    <t>Élektek</t>
  </si>
  <si>
    <t>magmar</t>
  </si>
  <si>
    <t>Magmar</t>
  </si>
  <si>
    <t>pinsir</t>
  </si>
  <si>
    <t>Scarabrute</t>
  </si>
  <si>
    <t>tauros</t>
  </si>
  <si>
    <t>Tauros</t>
  </si>
  <si>
    <t>magikarp</t>
  </si>
  <si>
    <t>Magicarpe</t>
  </si>
  <si>
    <t>gyarados</t>
  </si>
  <si>
    <t>Léviator</t>
  </si>
  <si>
    <t>lapras</t>
  </si>
  <si>
    <t>Lokhlass</t>
  </si>
  <si>
    <t>ditto</t>
  </si>
  <si>
    <t>Métamorph</t>
  </si>
  <si>
    <t>eevee</t>
  </si>
  <si>
    <t>Évoli</t>
  </si>
  <si>
    <t>vaporeon</t>
  </si>
  <si>
    <t>Aquali</t>
  </si>
  <si>
    <t>jolteon</t>
  </si>
  <si>
    <t>Voltali</t>
  </si>
  <si>
    <t>flareon</t>
  </si>
  <si>
    <t>Pyroli</t>
  </si>
  <si>
    <t>porygon</t>
  </si>
  <si>
    <t>Porygon</t>
  </si>
  <si>
    <t>omanyte</t>
  </si>
  <si>
    <t>Amonita</t>
  </si>
  <si>
    <t>omastar</t>
  </si>
  <si>
    <t>Amonistar</t>
  </si>
  <si>
    <t>kabuto</t>
  </si>
  <si>
    <t>Kabuto</t>
  </si>
  <si>
    <t>kabutops</t>
  </si>
  <si>
    <t>Kabutops</t>
  </si>
  <si>
    <t>aerodactyl</t>
  </si>
  <si>
    <t>Ptéra</t>
  </si>
  <si>
    <t>snorlax</t>
  </si>
  <si>
    <t>Ronflex</t>
  </si>
  <si>
    <t>articuno</t>
  </si>
  <si>
    <t>Artikodin</t>
  </si>
  <si>
    <t>zapdos</t>
  </si>
  <si>
    <t>Électhor</t>
  </si>
  <si>
    <t>moltres</t>
  </si>
  <si>
    <t>Sulfura</t>
  </si>
  <si>
    <t>dratini</t>
  </si>
  <si>
    <t>Minidraco</t>
  </si>
  <si>
    <t>dragonair</t>
  </si>
  <si>
    <t>Draco</t>
  </si>
  <si>
    <t>dragonite</t>
  </si>
  <si>
    <t>Dracolosse</t>
  </si>
  <si>
    <t>mewtwo</t>
  </si>
  <si>
    <t>Mewtwo</t>
  </si>
  <si>
    <t>mew</t>
  </si>
  <si>
    <t>Mew</t>
  </si>
  <si>
    <t>chikorita</t>
  </si>
  <si>
    <t>Germignon</t>
  </si>
  <si>
    <t>bayleef</t>
  </si>
  <si>
    <t>Macronium</t>
  </si>
  <si>
    <t>meganium</t>
  </si>
  <si>
    <t>Méganium</t>
  </si>
  <si>
    <t>cyndaquil</t>
  </si>
  <si>
    <t>Héricendre</t>
  </si>
  <si>
    <t>quilava</t>
  </si>
  <si>
    <t>Feurisson</t>
  </si>
  <si>
    <t>typhlosion</t>
  </si>
  <si>
    <t>Typhlosion</t>
  </si>
  <si>
    <t>totodile</t>
  </si>
  <si>
    <t>Kaiminus</t>
  </si>
  <si>
    <t>croconaw</t>
  </si>
  <si>
    <t>Crocrodil</t>
  </si>
  <si>
    <t>feraligatr</t>
  </si>
  <si>
    <t>Aligatueur</t>
  </si>
  <si>
    <t>sentret</t>
  </si>
  <si>
    <t>Fouinette</t>
  </si>
  <si>
    <t>furret</t>
  </si>
  <si>
    <t>Fouinar</t>
  </si>
  <si>
    <t>hoothoot</t>
  </si>
  <si>
    <t>Hoothoot</t>
  </si>
  <si>
    <t>noctowl</t>
  </si>
  <si>
    <t>Noarfang</t>
  </si>
  <si>
    <t>ledyba</t>
  </si>
  <si>
    <t>Coxy</t>
  </si>
  <si>
    <t>ledian</t>
  </si>
  <si>
    <t>Coxyclaque</t>
  </si>
  <si>
    <t>spinarak</t>
  </si>
  <si>
    <t>Mimigal</t>
  </si>
  <si>
    <t>ariados</t>
  </si>
  <si>
    <t>Migalos</t>
  </si>
  <si>
    <t>crobat</t>
  </si>
  <si>
    <t>Nostenfer</t>
  </si>
  <si>
    <t>chinchou</t>
  </si>
  <si>
    <t>Loupio</t>
  </si>
  <si>
    <t>lanturn</t>
  </si>
  <si>
    <t>Lanturn</t>
  </si>
  <si>
    <t>pichu</t>
  </si>
  <si>
    <t>Pichu</t>
  </si>
  <si>
    <t>cleffa</t>
  </si>
  <si>
    <t>Mélo</t>
  </si>
  <si>
    <t>igglybuff</t>
  </si>
  <si>
    <t>Toudoudou</t>
  </si>
  <si>
    <t>togepi</t>
  </si>
  <si>
    <t>Togepi</t>
  </si>
  <si>
    <t>togetic</t>
  </si>
  <si>
    <t>Togetic</t>
  </si>
  <si>
    <t>natu</t>
  </si>
  <si>
    <t>Natu</t>
  </si>
  <si>
    <t>xatu</t>
  </si>
  <si>
    <t>Xatu</t>
  </si>
  <si>
    <t>mareep</t>
  </si>
  <si>
    <t>Wattouat</t>
  </si>
  <si>
    <t>flaaffy</t>
  </si>
  <si>
    <t>Lainergie</t>
  </si>
  <si>
    <t>ampharos</t>
  </si>
  <si>
    <t>Pharamp</t>
  </si>
  <si>
    <t>bellossom</t>
  </si>
  <si>
    <t>Joliflor</t>
  </si>
  <si>
    <t>marill</t>
  </si>
  <si>
    <t>Marill</t>
  </si>
  <si>
    <t>azumarill</t>
  </si>
  <si>
    <t>Azumarill</t>
  </si>
  <si>
    <t>sudowoodo</t>
  </si>
  <si>
    <t>Simularbre</t>
  </si>
  <si>
    <t>politoed</t>
  </si>
  <si>
    <t>Tarpaud</t>
  </si>
  <si>
    <t>hoppip</t>
  </si>
  <si>
    <t>Granivol</t>
  </si>
  <si>
    <t>skiploom</t>
  </si>
  <si>
    <t>Floravol</t>
  </si>
  <si>
    <t>jumpluff</t>
  </si>
  <si>
    <t>Cotovol</t>
  </si>
  <si>
    <t>aipom</t>
  </si>
  <si>
    <t>Capumain</t>
  </si>
  <si>
    <t>sunkern</t>
  </si>
  <si>
    <t>Tournegrin</t>
  </si>
  <si>
    <t>sunflora</t>
  </si>
  <si>
    <t>Héliatronc</t>
  </si>
  <si>
    <t>yanma</t>
  </si>
  <si>
    <t>Yanma</t>
  </si>
  <si>
    <t>wooper</t>
  </si>
  <si>
    <t>Axoloto</t>
  </si>
  <si>
    <t>quagsire</t>
  </si>
  <si>
    <t>Maraiste</t>
  </si>
  <si>
    <t>espeon</t>
  </si>
  <si>
    <t>Mentali</t>
  </si>
  <si>
    <t>umbreon</t>
  </si>
  <si>
    <t>Noctali</t>
  </si>
  <si>
    <t>murkrow</t>
  </si>
  <si>
    <t>Cornèbre</t>
  </si>
  <si>
    <t>slowking</t>
  </si>
  <si>
    <t>Roigada</t>
  </si>
  <si>
    <t>misdreavus</t>
  </si>
  <si>
    <t>Feuforêve</t>
  </si>
  <si>
    <t>unown</t>
  </si>
  <si>
    <t>Zarbi</t>
  </si>
  <si>
    <t>wobbuffet</t>
  </si>
  <si>
    <t>Qulbutoké</t>
  </si>
  <si>
    <t>girafarig</t>
  </si>
  <si>
    <t>Girafarig</t>
  </si>
  <si>
    <t>pineco</t>
  </si>
  <si>
    <t>Pomdepik</t>
  </si>
  <si>
    <t>forretress</t>
  </si>
  <si>
    <t>Foretress</t>
  </si>
  <si>
    <t>dunsparce</t>
  </si>
  <si>
    <t>Insolourdo</t>
  </si>
  <si>
    <t>gligar</t>
  </si>
  <si>
    <t>Scorplane</t>
  </si>
  <si>
    <t>steelix</t>
  </si>
  <si>
    <t>Steelix</t>
  </si>
  <si>
    <t>snubbull</t>
  </si>
  <si>
    <t>Snubbull</t>
  </si>
  <si>
    <t>granbull</t>
  </si>
  <si>
    <t>Granbull</t>
  </si>
  <si>
    <t>qwilfish</t>
  </si>
  <si>
    <t>Qwilfish</t>
  </si>
  <si>
    <t>scizor</t>
  </si>
  <si>
    <t>Cizayox</t>
  </si>
  <si>
    <t>shuckle</t>
  </si>
  <si>
    <t>Caratroc</t>
  </si>
  <si>
    <t>heracross</t>
  </si>
  <si>
    <t>Scarhino</t>
  </si>
  <si>
    <t>sneasel</t>
  </si>
  <si>
    <t>Farfuret</t>
  </si>
  <si>
    <t>teddiursa</t>
  </si>
  <si>
    <t>Teddiursa</t>
  </si>
  <si>
    <t>ursaring</t>
  </si>
  <si>
    <t>Ursaring</t>
  </si>
  <si>
    <t>slugma</t>
  </si>
  <si>
    <t>Limagma</t>
  </si>
  <si>
    <t>magcargo</t>
  </si>
  <si>
    <t>Volcaropod</t>
  </si>
  <si>
    <t>swinub</t>
  </si>
  <si>
    <t>Marcacrin</t>
  </si>
  <si>
    <t>piloswine</t>
  </si>
  <si>
    <t>Cochignon</t>
  </si>
  <si>
    <t>corsola</t>
  </si>
  <si>
    <t>Corayon</t>
  </si>
  <si>
    <t>remoraid</t>
  </si>
  <si>
    <t>Rémoraid</t>
  </si>
  <si>
    <t>octillery</t>
  </si>
  <si>
    <t>Octillery</t>
  </si>
  <si>
    <t>delibird</t>
  </si>
  <si>
    <t>Cadoizo</t>
  </si>
  <si>
    <t>mantine</t>
  </si>
  <si>
    <t>Démanta</t>
  </si>
  <si>
    <t>skarmory</t>
  </si>
  <si>
    <t>Airmure</t>
  </si>
  <si>
    <t>houndour</t>
  </si>
  <si>
    <t>Malosse</t>
  </si>
  <si>
    <t>houndoom</t>
  </si>
  <si>
    <t>Démolosse</t>
  </si>
  <si>
    <t>kingdra</t>
  </si>
  <si>
    <t>Hyporoi</t>
  </si>
  <si>
    <t>phanpy</t>
  </si>
  <si>
    <t>Phanpy</t>
  </si>
  <si>
    <t>donphan</t>
  </si>
  <si>
    <t>Donphan</t>
  </si>
  <si>
    <t>porygon2</t>
  </si>
  <si>
    <t>Porygon2</t>
  </si>
  <si>
    <t>stantler</t>
  </si>
  <si>
    <t>Cerfrousse</t>
  </si>
  <si>
    <t>smeargle</t>
  </si>
  <si>
    <t>Queulorior</t>
  </si>
  <si>
    <t>tyrogue</t>
  </si>
  <si>
    <t>Debugant</t>
  </si>
  <si>
    <t>hitmontop</t>
  </si>
  <si>
    <t>Kapoera</t>
  </si>
  <si>
    <t>smoochum</t>
  </si>
  <si>
    <t>Lippouti</t>
  </si>
  <si>
    <t>elekid</t>
  </si>
  <si>
    <t>Élekid</t>
  </si>
  <si>
    <t>magby</t>
  </si>
  <si>
    <t>Magby</t>
  </si>
  <si>
    <t>miltank</t>
  </si>
  <si>
    <t>Écrémeuh</t>
  </si>
  <si>
    <t>blissey</t>
  </si>
  <si>
    <t>Leuphorie</t>
  </si>
  <si>
    <t>raikou</t>
  </si>
  <si>
    <t>Raikou</t>
  </si>
  <si>
    <t>entei</t>
  </si>
  <si>
    <t>Entei</t>
  </si>
  <si>
    <t>suicune</t>
  </si>
  <si>
    <t>Suicune</t>
  </si>
  <si>
    <t>larvitar</t>
  </si>
  <si>
    <t>Embrylex</t>
  </si>
  <si>
    <t>pupitar</t>
  </si>
  <si>
    <t>Ymphect</t>
  </si>
  <si>
    <t>tyranitar</t>
  </si>
  <si>
    <t>Tyranocif</t>
  </si>
  <si>
    <t>lugia</t>
  </si>
  <si>
    <t>Lugia</t>
  </si>
  <si>
    <t>ho-oh</t>
  </si>
  <si>
    <t>Ho-Oh</t>
  </si>
  <si>
    <t>celebi</t>
  </si>
  <si>
    <t>Celebi</t>
  </si>
  <si>
    <t>treecko</t>
  </si>
  <si>
    <t>Arcko</t>
  </si>
  <si>
    <t>grovyle</t>
  </si>
  <si>
    <t>Massko</t>
  </si>
  <si>
    <t>sceptile</t>
  </si>
  <si>
    <t>Jungko</t>
  </si>
  <si>
    <t>torchic</t>
  </si>
  <si>
    <t>Poussifeu</t>
  </si>
  <si>
    <t>combusken</t>
  </si>
  <si>
    <t>Galifeu</t>
  </si>
  <si>
    <t>blaziken</t>
  </si>
  <si>
    <t>Braségali</t>
  </si>
  <si>
    <t>mudkip</t>
  </si>
  <si>
    <t>Gobou</t>
  </si>
  <si>
    <t>marshtomp</t>
  </si>
  <si>
    <t>Flobio</t>
  </si>
  <si>
    <t>swampert</t>
  </si>
  <si>
    <t>Laggron</t>
  </si>
  <si>
    <t>poochyena</t>
  </si>
  <si>
    <t>Medhyèna</t>
  </si>
  <si>
    <t>mightyena</t>
  </si>
  <si>
    <t>Grahyèna</t>
  </si>
  <si>
    <t>zigzagoon</t>
  </si>
  <si>
    <t>Zigzaton</t>
  </si>
  <si>
    <t>linoone</t>
  </si>
  <si>
    <t>Linéon</t>
  </si>
  <si>
    <t>wurmple</t>
  </si>
  <si>
    <t>Chenipotte</t>
  </si>
  <si>
    <t>silcoon</t>
  </si>
  <si>
    <t>Armulys</t>
  </si>
  <si>
    <t>beautifly</t>
  </si>
  <si>
    <t>Charmillon</t>
  </si>
  <si>
    <t>cascoon</t>
  </si>
  <si>
    <t>Blindalys</t>
  </si>
  <si>
    <t>dustox</t>
  </si>
  <si>
    <t>Papinox</t>
  </si>
  <si>
    <t>lotad</t>
  </si>
  <si>
    <t>Nénupiot</t>
  </si>
  <si>
    <t>lombre</t>
  </si>
  <si>
    <t>Lombre</t>
  </si>
  <si>
    <t>ludicolo</t>
  </si>
  <si>
    <t>Ludicolo</t>
  </si>
  <si>
    <t>seedot</t>
  </si>
  <si>
    <t>Grainipiot</t>
  </si>
  <si>
    <t>nuzleaf</t>
  </si>
  <si>
    <t>Pifeuil</t>
  </si>
  <si>
    <t>shiftry</t>
  </si>
  <si>
    <t>Tengalice</t>
  </si>
  <si>
    <t>taillow</t>
  </si>
  <si>
    <t>Nirondelle</t>
  </si>
  <si>
    <t>swellow</t>
  </si>
  <si>
    <t>Hélédelle</t>
  </si>
  <si>
    <t>wingull</t>
  </si>
  <si>
    <t>Goélise</t>
  </si>
  <si>
    <t>pelipper</t>
  </si>
  <si>
    <t>Bekipan</t>
  </si>
  <si>
    <t>ralts</t>
  </si>
  <si>
    <t>Tarsal</t>
  </si>
  <si>
    <t>kirlia</t>
  </si>
  <si>
    <t>Kirlia</t>
  </si>
  <si>
    <t>gardevoir</t>
  </si>
  <si>
    <t>Gardevoir</t>
  </si>
  <si>
    <t>surskit</t>
  </si>
  <si>
    <t>Arakdo</t>
  </si>
  <si>
    <t>masquerain</t>
  </si>
  <si>
    <t>Maskadra</t>
  </si>
  <si>
    <t>shroomish</t>
  </si>
  <si>
    <t>Balignon</t>
  </si>
  <si>
    <t>breloom</t>
  </si>
  <si>
    <t>Chapignon</t>
  </si>
  <si>
    <t>slakoth</t>
  </si>
  <si>
    <t>Parecool</t>
  </si>
  <si>
    <t>vigoroth</t>
  </si>
  <si>
    <t>Vigoroth</t>
  </si>
  <si>
    <t>slaking</t>
  </si>
  <si>
    <t>Monaflèmit</t>
  </si>
  <si>
    <t>nincada</t>
  </si>
  <si>
    <t>Ningale</t>
  </si>
  <si>
    <t>ninjask</t>
  </si>
  <si>
    <t>Ninjask</t>
  </si>
  <si>
    <t>shedinja</t>
  </si>
  <si>
    <t>Munja</t>
  </si>
  <si>
    <t>whismur</t>
  </si>
  <si>
    <t>Chuchmur</t>
  </si>
  <si>
    <t>loudred</t>
  </si>
  <si>
    <t>Ramboum</t>
  </si>
  <si>
    <t>exploud</t>
  </si>
  <si>
    <t>Brouhabam</t>
  </si>
  <si>
    <t>makuhita</t>
  </si>
  <si>
    <t>Makuhita</t>
  </si>
  <si>
    <t>hariyama</t>
  </si>
  <si>
    <t>Hariyama</t>
  </si>
  <si>
    <t>azurill</t>
  </si>
  <si>
    <t>Azurill</t>
  </si>
  <si>
    <t>nosepass</t>
  </si>
  <si>
    <t>Tarinor</t>
  </si>
  <si>
    <t>skitty</t>
  </si>
  <si>
    <t>Skitty</t>
  </si>
  <si>
    <t>delcatty</t>
  </si>
  <si>
    <t>Delcatty</t>
  </si>
  <si>
    <t>sableye</t>
  </si>
  <si>
    <t>Ténéfix</t>
  </si>
  <si>
    <t>mawile</t>
  </si>
  <si>
    <t>Mysdibule</t>
  </si>
  <si>
    <t>aron</t>
  </si>
  <si>
    <t>Galekid</t>
  </si>
  <si>
    <t>lairon</t>
  </si>
  <si>
    <t>Galegon</t>
  </si>
  <si>
    <t>aggron</t>
  </si>
  <si>
    <t>Galeking</t>
  </si>
  <si>
    <t>meditite</t>
  </si>
  <si>
    <t>Méditikka</t>
  </si>
  <si>
    <t>medicham</t>
  </si>
  <si>
    <t>Charmina</t>
  </si>
  <si>
    <t>electrike</t>
  </si>
  <si>
    <t>Dynavolt</t>
  </si>
  <si>
    <t>manectric</t>
  </si>
  <si>
    <t>Élecsprint</t>
  </si>
  <si>
    <t>plusle</t>
  </si>
  <si>
    <t>Posipi</t>
  </si>
  <si>
    <t>minun</t>
  </si>
  <si>
    <t>Négapi</t>
  </si>
  <si>
    <t>volbeat</t>
  </si>
  <si>
    <t>Muciole</t>
  </si>
  <si>
    <t>illumise</t>
  </si>
  <si>
    <t>Lumivole</t>
  </si>
  <si>
    <t>roselia</t>
  </si>
  <si>
    <t>Rosélia</t>
  </si>
  <si>
    <t>gulpin</t>
  </si>
  <si>
    <t>Gloupti</t>
  </si>
  <si>
    <t>swalot</t>
  </si>
  <si>
    <t>Avaltout</t>
  </si>
  <si>
    <t>carvanha</t>
  </si>
  <si>
    <t>Carvanha</t>
  </si>
  <si>
    <t>sharpedo</t>
  </si>
  <si>
    <t>Sharpedo</t>
  </si>
  <si>
    <t>wailmer</t>
  </si>
  <si>
    <t>Wailmer</t>
  </si>
  <si>
    <t>wailord</t>
  </si>
  <si>
    <t>Wailord</t>
  </si>
  <si>
    <t>numel</t>
  </si>
  <si>
    <t>Chamallot</t>
  </si>
  <si>
    <t>camerupt</t>
  </si>
  <si>
    <t>Camérupt</t>
  </si>
  <si>
    <t>torkoal</t>
  </si>
  <si>
    <t>Chartor</t>
  </si>
  <si>
    <t>spoink</t>
  </si>
  <si>
    <t>Spoink</t>
  </si>
  <si>
    <t>grumpig</t>
  </si>
  <si>
    <t>Groret</t>
  </si>
  <si>
    <t>spinda</t>
  </si>
  <si>
    <t>Spinda</t>
  </si>
  <si>
    <t>trapinch</t>
  </si>
  <si>
    <t>Kraknoix</t>
  </si>
  <si>
    <t>vibrava</t>
  </si>
  <si>
    <t>Vibraninf</t>
  </si>
  <si>
    <t>flygon</t>
  </si>
  <si>
    <t>Libégon</t>
  </si>
  <si>
    <t>cacnea</t>
  </si>
  <si>
    <t>Cacnea</t>
  </si>
  <si>
    <t>cacturne</t>
  </si>
  <si>
    <t>Cacturne</t>
  </si>
  <si>
    <t>swablu</t>
  </si>
  <si>
    <t>Tylton</t>
  </si>
  <si>
    <t>altaria</t>
  </si>
  <si>
    <t>Altaria</t>
  </si>
  <si>
    <t>zangoose</t>
  </si>
  <si>
    <t>Mangriff</t>
  </si>
  <si>
    <t>seviper</t>
  </si>
  <si>
    <t>Séviper</t>
  </si>
  <si>
    <t>lunatone</t>
  </si>
  <si>
    <t>Séléroc</t>
  </si>
  <si>
    <t>solrock</t>
  </si>
  <si>
    <t>Solaroc</t>
  </si>
  <si>
    <t>barboach</t>
  </si>
  <si>
    <t>Barloche</t>
  </si>
  <si>
    <t>whiscash</t>
  </si>
  <si>
    <t>Barbicha</t>
  </si>
  <si>
    <t>corphish</t>
  </si>
  <si>
    <t>Écrapince</t>
  </si>
  <si>
    <t>crawdaunt</t>
  </si>
  <si>
    <t>Colhomard</t>
  </si>
  <si>
    <t>baltoy</t>
  </si>
  <si>
    <t>Balbuto</t>
  </si>
  <si>
    <t>claydol</t>
  </si>
  <si>
    <t>Kaorine</t>
  </si>
  <si>
    <t>lileep</t>
  </si>
  <si>
    <t>Lilia</t>
  </si>
  <si>
    <t>cradily</t>
  </si>
  <si>
    <t>Vacilys</t>
  </si>
  <si>
    <t>anorith</t>
  </si>
  <si>
    <t>Anorith</t>
  </si>
  <si>
    <t>armaldo</t>
  </si>
  <si>
    <t>Armaldo</t>
  </si>
  <si>
    <t>feebas</t>
  </si>
  <si>
    <t>Barpau</t>
  </si>
  <si>
    <t>milotic</t>
  </si>
  <si>
    <t>Milobellus</t>
  </si>
  <si>
    <t>castform</t>
  </si>
  <si>
    <t>Morphéo</t>
  </si>
  <si>
    <t>kecleon</t>
  </si>
  <si>
    <t>Kecleon</t>
  </si>
  <si>
    <t>shuppet</t>
  </si>
  <si>
    <t>Polichombr</t>
  </si>
  <si>
    <t>banette</t>
  </si>
  <si>
    <t>Branette</t>
  </si>
  <si>
    <t>duskull</t>
  </si>
  <si>
    <t>Skelénox</t>
  </si>
  <si>
    <t>dusclops</t>
  </si>
  <si>
    <t>Téraclope</t>
  </si>
  <si>
    <t>tropius</t>
  </si>
  <si>
    <t>Tropius</t>
  </si>
  <si>
    <t>chimecho</t>
  </si>
  <si>
    <t>Éoko</t>
  </si>
  <si>
    <t>absol</t>
  </si>
  <si>
    <t>Absol</t>
  </si>
  <si>
    <t>wynaut</t>
  </si>
  <si>
    <t>Okéoké</t>
  </si>
  <si>
    <t>snorunt</t>
  </si>
  <si>
    <t>Stalgamin</t>
  </si>
  <si>
    <t>glalie</t>
  </si>
  <si>
    <t>Oniglali</t>
  </si>
  <si>
    <t>spheal</t>
  </si>
  <si>
    <t>Obalie</t>
  </si>
  <si>
    <t>sealeo</t>
  </si>
  <si>
    <t>Phogleur</t>
  </si>
  <si>
    <t>walrein</t>
  </si>
  <si>
    <t>Kaimorse</t>
  </si>
  <si>
    <t>clamperl</t>
  </si>
  <si>
    <t>Coquiperl</t>
  </si>
  <si>
    <t>huntail</t>
  </si>
  <si>
    <t>Serpang</t>
  </si>
  <si>
    <t>gorebyss</t>
  </si>
  <si>
    <t>Rosabyss</t>
  </si>
  <si>
    <t>relicanth</t>
  </si>
  <si>
    <t>Relicanth</t>
  </si>
  <si>
    <t>luvdisc</t>
  </si>
  <si>
    <t>Lovdisc</t>
  </si>
  <si>
    <t>bagon</t>
  </si>
  <si>
    <t>Draby</t>
  </si>
  <si>
    <t>shelgon</t>
  </si>
  <si>
    <t>Drackhaus</t>
  </si>
  <si>
    <t>salamence</t>
  </si>
  <si>
    <t>Drattak</t>
  </si>
  <si>
    <t>beldum</t>
  </si>
  <si>
    <t>Terhal</t>
  </si>
  <si>
    <t>metang</t>
  </si>
  <si>
    <t>Métang</t>
  </si>
  <si>
    <t>metagross</t>
  </si>
  <si>
    <t>Métalosse</t>
  </si>
  <si>
    <t>regirock</t>
  </si>
  <si>
    <t>Regirock</t>
  </si>
  <si>
    <t>regice</t>
  </si>
  <si>
    <t>Regice</t>
  </si>
  <si>
    <t>registeel</t>
  </si>
  <si>
    <t>Registeel</t>
  </si>
  <si>
    <t>latias</t>
  </si>
  <si>
    <t>Latias</t>
  </si>
  <si>
    <t>latios</t>
  </si>
  <si>
    <t>Latios</t>
  </si>
  <si>
    <t>kyogre</t>
  </si>
  <si>
    <t>Kyogre</t>
  </si>
  <si>
    <t>groudon</t>
  </si>
  <si>
    <t>Groudon</t>
  </si>
  <si>
    <t>rayquaza</t>
  </si>
  <si>
    <t>Rayquaza</t>
  </si>
  <si>
    <t>jirachi</t>
  </si>
  <si>
    <t>Jirachi</t>
  </si>
  <si>
    <t>deoxys-normal</t>
  </si>
  <si>
    <t>Deoxys</t>
  </si>
  <si>
    <t>turtwig</t>
  </si>
  <si>
    <t>Tortipouss</t>
  </si>
  <si>
    <t>grotle</t>
  </si>
  <si>
    <t>Boskara</t>
  </si>
  <si>
    <t>torterra</t>
  </si>
  <si>
    <t>Torterra</t>
  </si>
  <si>
    <t>chimchar</t>
  </si>
  <si>
    <t>Ouisticram</t>
  </si>
  <si>
    <t>monferno</t>
  </si>
  <si>
    <t>Chimpenfeu</t>
  </si>
  <si>
    <t>infernape</t>
  </si>
  <si>
    <t>Simiabraz</t>
  </si>
  <si>
    <t>piplup</t>
  </si>
  <si>
    <t>Tiplouf</t>
  </si>
  <si>
    <t>prinplup</t>
  </si>
  <si>
    <t>Prinplouf</t>
  </si>
  <si>
    <t>empoleon</t>
  </si>
  <si>
    <t>Pingoléon</t>
  </si>
  <si>
    <t>starly</t>
  </si>
  <si>
    <t>Étourmi</t>
  </si>
  <si>
    <t>staravia</t>
  </si>
  <si>
    <t>Étourvol</t>
  </si>
  <si>
    <t>staraptor</t>
  </si>
  <si>
    <t>Étouraptor</t>
  </si>
  <si>
    <t>bidoof</t>
  </si>
  <si>
    <t>Keunotor</t>
  </si>
  <si>
    <t>bibarel</t>
  </si>
  <si>
    <t>Castorno</t>
  </si>
  <si>
    <t>kricketot</t>
  </si>
  <si>
    <t>Crikzik</t>
  </si>
  <si>
    <t>kricketune</t>
  </si>
  <si>
    <t>Mélokrik</t>
  </si>
  <si>
    <t>shinx</t>
  </si>
  <si>
    <t>Lixy</t>
  </si>
  <si>
    <t>luxio</t>
  </si>
  <si>
    <t>Luxio</t>
  </si>
  <si>
    <t>luxray</t>
  </si>
  <si>
    <t>Luxray</t>
  </si>
  <si>
    <t>budew</t>
  </si>
  <si>
    <t>Rozbouton</t>
  </si>
  <si>
    <t>roserade</t>
  </si>
  <si>
    <t>Roserade</t>
  </si>
  <si>
    <t>cranidos</t>
  </si>
  <si>
    <t>Kranidos</t>
  </si>
  <si>
    <t>rampardos</t>
  </si>
  <si>
    <t>Charkos</t>
  </si>
  <si>
    <t>shieldon</t>
  </si>
  <si>
    <t>Dinoclier</t>
  </si>
  <si>
    <t>bastiodon</t>
  </si>
  <si>
    <t>Bastiodon</t>
  </si>
  <si>
    <t>burmy</t>
  </si>
  <si>
    <t>Cheniti</t>
  </si>
  <si>
    <t>wormadam-plant</t>
  </si>
  <si>
    <t>Cheniselle</t>
  </si>
  <si>
    <t>mothim</t>
  </si>
  <si>
    <t>Papilord</t>
  </si>
  <si>
    <t>combee</t>
  </si>
  <si>
    <t>Apitrini</t>
  </si>
  <si>
    <t>vespiquen</t>
  </si>
  <si>
    <t>Apireine</t>
  </si>
  <si>
    <t>pachirisu</t>
  </si>
  <si>
    <t>Pachirisu</t>
  </si>
  <si>
    <t>buizel</t>
  </si>
  <si>
    <t>Mustébouée</t>
  </si>
  <si>
    <t>floatzel</t>
  </si>
  <si>
    <t>Mustéflott</t>
  </si>
  <si>
    <t>cherubi</t>
  </si>
  <si>
    <t>Ceribou</t>
  </si>
  <si>
    <t>cherrim</t>
  </si>
  <si>
    <t>Ceriflor</t>
  </si>
  <si>
    <t>shellos</t>
  </si>
  <si>
    <t>Sancoki</t>
  </si>
  <si>
    <t>gastrodon</t>
  </si>
  <si>
    <t>Tritosor</t>
  </si>
  <si>
    <t>ambipom</t>
  </si>
  <si>
    <t>Capidextre</t>
  </si>
  <si>
    <t>drifloon</t>
  </si>
  <si>
    <t>Baudrive</t>
  </si>
  <si>
    <t>drifblim</t>
  </si>
  <si>
    <t>Grodrive</t>
  </si>
  <si>
    <t>buneary</t>
  </si>
  <si>
    <t>Laporeille</t>
  </si>
  <si>
    <t>lopunny</t>
  </si>
  <si>
    <t>Lockpin</t>
  </si>
  <si>
    <t>mismagius</t>
  </si>
  <si>
    <t>Magirêve</t>
  </si>
  <si>
    <t>honchkrow</t>
  </si>
  <si>
    <t>Corboss</t>
  </si>
  <si>
    <t>glameow</t>
  </si>
  <si>
    <t>Chaglam</t>
  </si>
  <si>
    <t>purugly</t>
  </si>
  <si>
    <t>Chaffreux</t>
  </si>
  <si>
    <t>chingling</t>
  </si>
  <si>
    <t>Korillon</t>
  </si>
  <si>
    <t>stunky</t>
  </si>
  <si>
    <t>Moufouette</t>
  </si>
  <si>
    <t>skuntank</t>
  </si>
  <si>
    <t>Moufflair</t>
  </si>
  <si>
    <t>bronzor</t>
  </si>
  <si>
    <t>Archéomire</t>
  </si>
  <si>
    <t>bronzong</t>
  </si>
  <si>
    <t>Archéodong</t>
  </si>
  <si>
    <t>bonsly</t>
  </si>
  <si>
    <t>Manzaï</t>
  </si>
  <si>
    <t>mime-jr</t>
  </si>
  <si>
    <t>Mime Jr.</t>
  </si>
  <si>
    <t>happiny</t>
  </si>
  <si>
    <t>Ptiravi</t>
  </si>
  <si>
    <t>chatot</t>
  </si>
  <si>
    <t>Pijako</t>
  </si>
  <si>
    <t>spiritomb</t>
  </si>
  <si>
    <t>Spiritomb</t>
  </si>
  <si>
    <t>gible</t>
  </si>
  <si>
    <t>Griknot</t>
  </si>
  <si>
    <t>gabite</t>
  </si>
  <si>
    <t>Carmache</t>
  </si>
  <si>
    <t>garchomp</t>
  </si>
  <si>
    <t>Carchacrok</t>
  </si>
  <si>
    <t>munchlax</t>
  </si>
  <si>
    <t>Goinfrex</t>
  </si>
  <si>
    <t>riolu</t>
  </si>
  <si>
    <t>Riolu</t>
  </si>
  <si>
    <t>lucario</t>
  </si>
  <si>
    <t>Lucario</t>
  </si>
  <si>
    <t>hippopotas</t>
  </si>
  <si>
    <t>Hippopotas</t>
  </si>
  <si>
    <t>hippowdon</t>
  </si>
  <si>
    <t>Hippodocus</t>
  </si>
  <si>
    <t>skorupi</t>
  </si>
  <si>
    <t>Rapion</t>
  </si>
  <si>
    <t>drapion</t>
  </si>
  <si>
    <t>Drascore</t>
  </si>
  <si>
    <t>croagunk</t>
  </si>
  <si>
    <t>Cradopaud</t>
  </si>
  <si>
    <t>toxicroak</t>
  </si>
  <si>
    <t>Coatox</t>
  </si>
  <si>
    <t>carnivine</t>
  </si>
  <si>
    <t>Vortente</t>
  </si>
  <si>
    <t>finneon</t>
  </si>
  <si>
    <t>Écayon</t>
  </si>
  <si>
    <t>lumineon</t>
  </si>
  <si>
    <t>Luminéon</t>
  </si>
  <si>
    <t>mantyke</t>
  </si>
  <si>
    <t>Babimanta</t>
  </si>
  <si>
    <t>snover</t>
  </si>
  <si>
    <t>Blizzi</t>
  </si>
  <si>
    <t>abomasnow</t>
  </si>
  <si>
    <t>Blizzaroi</t>
  </si>
  <si>
    <t>weavile</t>
  </si>
  <si>
    <t>Dimoret</t>
  </si>
  <si>
    <t>magnezone</t>
  </si>
  <si>
    <t>Magnézone</t>
  </si>
  <si>
    <t>lickilicky</t>
  </si>
  <si>
    <t>Coudlangue</t>
  </si>
  <si>
    <t>rhyperior</t>
  </si>
  <si>
    <t>Rhinastoc</t>
  </si>
  <si>
    <t>tangrowth</t>
  </si>
  <si>
    <t>Bouldeneu</t>
  </si>
  <si>
    <t>electivire</t>
  </si>
  <si>
    <t>Élekable</t>
  </si>
  <si>
    <t>magmortar</t>
  </si>
  <si>
    <t>Maganon</t>
  </si>
  <si>
    <t>togekiss</t>
  </si>
  <si>
    <t>Togekiss</t>
  </si>
  <si>
    <t>yanmega</t>
  </si>
  <si>
    <t>Yanmega</t>
  </si>
  <si>
    <t>leafeon</t>
  </si>
  <si>
    <t>Phyllali</t>
  </si>
  <si>
    <t>glaceon</t>
  </si>
  <si>
    <t>Givrali</t>
  </si>
  <si>
    <t>gliscor</t>
  </si>
  <si>
    <t>Scorvol</t>
  </si>
  <si>
    <t>mamoswine</t>
  </si>
  <si>
    <t>Mammochon</t>
  </si>
  <si>
    <t>porygon-z</t>
  </si>
  <si>
    <t>Porygon-Z</t>
  </si>
  <si>
    <t>gallade</t>
  </si>
  <si>
    <t>Gallame</t>
  </si>
  <si>
    <t>probopass</t>
  </si>
  <si>
    <t>Tarinorme</t>
  </si>
  <si>
    <t>dusknoir</t>
  </si>
  <si>
    <t>Noctunoir</t>
  </si>
  <si>
    <t>froslass</t>
  </si>
  <si>
    <t>Momartik</t>
  </si>
  <si>
    <t>rotom</t>
  </si>
  <si>
    <t>Motisma</t>
  </si>
  <si>
    <t>uxie</t>
  </si>
  <si>
    <t>Créhelf</t>
  </si>
  <si>
    <t>mesprit</t>
  </si>
  <si>
    <t>Créfollet</t>
  </si>
  <si>
    <t>azelf</t>
  </si>
  <si>
    <t>Créfadet</t>
  </si>
  <si>
    <t>dialga</t>
  </si>
  <si>
    <t>Dialga</t>
  </si>
  <si>
    <t>palkia</t>
  </si>
  <si>
    <t>Palkia</t>
  </si>
  <si>
    <t>heatran</t>
  </si>
  <si>
    <t>Heatran</t>
  </si>
  <si>
    <t>regigigas</t>
  </si>
  <si>
    <t>Regigigas</t>
  </si>
  <si>
    <t>giratina-altered</t>
  </si>
  <si>
    <t>Giratina</t>
  </si>
  <si>
    <t>cresselia</t>
  </si>
  <si>
    <t>Cresselia</t>
  </si>
  <si>
    <t>phione</t>
  </si>
  <si>
    <t>Phione</t>
  </si>
  <si>
    <t>manaphy</t>
  </si>
  <si>
    <t>Manaphy</t>
  </si>
  <si>
    <t>darkrai</t>
  </si>
  <si>
    <t>Darkrai</t>
  </si>
  <si>
    <t>shaymin-land</t>
  </si>
  <si>
    <t>Shaymin</t>
  </si>
  <si>
    <t>arceus</t>
  </si>
  <si>
    <t>Arceus</t>
  </si>
  <si>
    <t>route_id</t>
  </si>
  <si>
    <t>route_name_fr</t>
  </si>
  <si>
    <t>spawn_weight</t>
  </si>
  <si>
    <t>min_level</t>
  </si>
  <si>
    <t>max_level</t>
  </si>
  <si>
    <t>method_1</t>
  </si>
  <si>
    <t>method_2</t>
  </si>
  <si>
    <t>method_3</t>
  </si>
  <si>
    <t>methods</t>
  </si>
  <si>
    <t>notes</t>
  </si>
  <si>
    <t>kanto_city_pallet_town</t>
  </si>
  <si>
    <t>Bourg Palette (Kanto)</t>
  </si>
  <si>
    <t>town</t>
  </si>
  <si>
    <t/>
  </si>
  <si>
    <t>kanto_route_1</t>
  </si>
  <si>
    <t>Route 1 (Kanto)</t>
  </si>
  <si>
    <t>kanto_city_viridian_city</t>
  </si>
  <si>
    <t>Jadielle (Kanto)</t>
  </si>
  <si>
    <t>kanto_route_2</t>
  </si>
  <si>
    <t>Route 2 (Kanto)</t>
  </si>
  <si>
    <t>kanto_dungeon_viridian_forest</t>
  </si>
  <si>
    <t>Foret de Jade (Kanto)</t>
  </si>
  <si>
    <t>kanto_city_pewter_city</t>
  </si>
  <si>
    <t>Argenta (Kanto)</t>
  </si>
  <si>
    <t>kanto_route_3</t>
  </si>
  <si>
    <t>Route 3 (Kanto)</t>
  </si>
  <si>
    <t>kanto_dungeon_mt_moon</t>
  </si>
  <si>
    <t>Mont Selenite (Kanto)</t>
  </si>
  <si>
    <t>kanto_route_4</t>
  </si>
  <si>
    <t>Route 4 (Kanto)</t>
  </si>
  <si>
    <t>kanto_city_cerulean_city</t>
  </si>
  <si>
    <t>Azuria (Kanto)</t>
  </si>
  <si>
    <t>kanto_route_24</t>
  </si>
  <si>
    <t>Route 24 (Kanto)</t>
  </si>
  <si>
    <t>kanto_route_25</t>
  </si>
  <si>
    <t>Route 25 (Kanto)</t>
  </si>
  <si>
    <t>kanto_route_5</t>
  </si>
  <si>
    <t>Route 5 (Kanto)</t>
  </si>
  <si>
    <t>kanto_route_6</t>
  </si>
  <si>
    <t>Route 6 (Kanto)</t>
  </si>
  <si>
    <t>kanto_city_vermilion_city</t>
  </si>
  <si>
    <t>Carmin-sur-Mer (Kanto)</t>
  </si>
  <si>
    <t>kanto_route_11</t>
  </si>
  <si>
    <t>Route 11 (Kanto)</t>
  </si>
  <si>
    <t>kanto_dungeon_digletts_cave</t>
  </si>
  <si>
    <t>Cave Taupiqueur (Kanto)</t>
  </si>
  <si>
    <t>kanto_route_9</t>
  </si>
  <si>
    <t>Route 9 (Kanto)</t>
  </si>
  <si>
    <t>kanto_route_10</t>
  </si>
  <si>
    <t>Route 10 (Kanto)</t>
  </si>
  <si>
    <t>kanto_dungeon_power_plant</t>
  </si>
  <si>
    <t>Centrale (Kanto)</t>
  </si>
  <si>
    <t>kanto_dungeon_rock_tunnel</t>
  </si>
  <si>
    <t>Grotte (Kanto)</t>
  </si>
  <si>
    <t>kanto_city_lavender_town</t>
  </si>
  <si>
    <t>Lavanville (Kanto)</t>
  </si>
  <si>
    <t>kanto_dungeon_pokemon_tower</t>
  </si>
  <si>
    <t>Tour Pokemon (Kanto)</t>
  </si>
  <si>
    <t>kanto_route_8</t>
  </si>
  <si>
    <t>Route 8 (Kanto)</t>
  </si>
  <si>
    <t>kanto_city_saffron_city</t>
  </si>
  <si>
    <t>Safrania (Kanto)</t>
  </si>
  <si>
    <t>kanto_route_7</t>
  </si>
  <si>
    <t>Route 7 (Kanto)</t>
  </si>
  <si>
    <t>kanto_city_celadon_city</t>
  </si>
  <si>
    <t>Celadopole (Kanto)</t>
  </si>
  <si>
    <t>kanto_route_16</t>
  </si>
  <si>
    <t>Route 16 (Kanto)</t>
  </si>
  <si>
    <t>kanto_route_17</t>
  </si>
  <si>
    <t>Route 17 (Kanto)</t>
  </si>
  <si>
    <t>kanto_route_18</t>
  </si>
  <si>
    <t>Route 18 (Kanto)</t>
  </si>
  <si>
    <t>kanto_city_fuchsia_city</t>
  </si>
  <si>
    <t>Parmanie (Kanto)</t>
  </si>
  <si>
    <t>kanto_dungeon_safari_zone</t>
  </si>
  <si>
    <t>Parc Safari (Kanto)</t>
  </si>
  <si>
    <t>kanto_route_15</t>
  </si>
  <si>
    <t>Route 15 (Kanto)</t>
  </si>
  <si>
    <t>kanto_route_14</t>
  </si>
  <si>
    <t>Route 14 (Kanto)</t>
  </si>
  <si>
    <t>kanto_route_13</t>
  </si>
  <si>
    <t>Route 13 (Kanto)</t>
  </si>
  <si>
    <t>kanto_route_12</t>
  </si>
  <si>
    <t>Route 12 (Kanto)</t>
  </si>
  <si>
    <t>kanto_route_19</t>
  </si>
  <si>
    <t>Route 19 (Kanto)</t>
  </si>
  <si>
    <t>kanto_route_20</t>
  </si>
  <si>
    <t>Route 20 (Kanto)</t>
  </si>
  <si>
    <t>kanto_dungeon_seafoam_islands</t>
  </si>
  <si>
    <t>Iles Ecume (Kanto)</t>
  </si>
  <si>
    <t>kanto_city_cinnabar_island</t>
  </si>
  <si>
    <t>Cramois'Ile (Kanto)</t>
  </si>
  <si>
    <t>kanto_dungeon_pokemon_mansion</t>
  </si>
  <si>
    <t>Manoir Pokemon (Kanto)</t>
  </si>
  <si>
    <t>kanto_route_21</t>
  </si>
  <si>
    <t>Route 21 (Kanto)</t>
  </si>
  <si>
    <t>kanto_route_22</t>
  </si>
  <si>
    <t>Route 22 (Kanto)</t>
  </si>
  <si>
    <t>kanto_route_23</t>
  </si>
  <si>
    <t>Route 23 (Kanto)</t>
  </si>
  <si>
    <t>kanto_dungeon_victory_road</t>
  </si>
  <si>
    <t>Route Victoire (Kanto)</t>
  </si>
  <si>
    <t>kanto_city_indigo_plateau</t>
  </si>
  <si>
    <t>Plateau Indigo (Kanto)</t>
  </si>
  <si>
    <t>kanto_dungeon_cerulean_cave</t>
  </si>
  <si>
    <t>Grotte Inconnue (Kanto)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</si>
</sst>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1F2937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1" fontId="0" fillId="0" borderId="0" xfId="0" applyNumberFormat="1"/>
    <xf numFmtId="0" fontId="0" fillId="3" borderId="0" xfId="0" applyFill="1"/>
    <xf numFmtId="1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2" width="20" customWidth="1"/>
    <col min="3" max="3" width="24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11</v>
      </c>
    </row>
    <row r="4" spans="1:3" x14ac:dyDescent="0.25">
      <c r="A4" t="s">
        <v>12</v>
      </c>
      <c r="C4" t="s">
        <v>13</v>
      </c>
    </row>
    <row r="5" spans="3:3" x14ac:dyDescent="0.25">
      <c r="C5" t="s">
        <v>14</v>
      </c>
    </row>
    <row r="6" spans="3:3" x14ac:dyDescent="0.25">
      <c r="C6" t="s">
        <v>15</v>
      </c>
    </row>
    <row r="7" spans="3:3" x14ac:dyDescent="0.25">
      <c r="C7" t="s">
        <v>16</v>
      </c>
    </row>
    <row r="8" spans="3:3" x14ac:dyDescent="0.25">
      <c r="C8" t="s">
        <v>17</v>
      </c>
    </row>
    <row r="9" spans="3:3" x14ac:dyDescent="0.25">
      <c r="C9" t="s">
        <v>18</v>
      </c>
    </row>
    <row r="10" spans="3:3" x14ac:dyDescent="0.25">
      <c r="C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4"/>
  <sheetFormatPr defaultRowHeight="15" outlineLevelRow="0" outlineLevelCol="0" x14ac:dyDescent="55"/>
  <cols>
    <col min="1" max="1" width="14" customWidth="1"/>
    <col min="2" max="3" width="22" customWidth="1"/>
  </cols>
  <sheetData>
    <row r="1" spans="1:3" x14ac:dyDescent="0.25">
      <c r="A1" s="3" t="s">
        <v>20</v>
      </c>
      <c r="B1" s="3" t="s">
        <v>21</v>
      </c>
      <c r="C1" s="3" t="s">
        <v>22</v>
      </c>
    </row>
    <row r="2" spans="1:3" x14ac:dyDescent="0.25">
      <c r="A2">
        <v>1</v>
      </c>
      <c r="B2" t="s">
        <v>23</v>
      </c>
      <c r="C2" t="s">
        <v>24</v>
      </c>
    </row>
    <row r="3" spans="1:3" x14ac:dyDescent="0.25">
      <c r="A3">
        <v>2</v>
      </c>
      <c r="B3" t="s">
        <v>25</v>
      </c>
      <c r="C3" t="s">
        <v>26</v>
      </c>
    </row>
    <row r="4" spans="1:3" x14ac:dyDescent="0.25">
      <c r="A4">
        <v>3</v>
      </c>
      <c r="B4" t="s">
        <v>27</v>
      </c>
      <c r="C4" t="s">
        <v>28</v>
      </c>
    </row>
    <row r="5" spans="1:3" x14ac:dyDescent="0.25">
      <c r="A5">
        <v>4</v>
      </c>
      <c r="B5" t="s">
        <v>29</v>
      </c>
      <c r="C5" t="s">
        <v>30</v>
      </c>
    </row>
    <row r="6" spans="1:3" x14ac:dyDescent="0.25">
      <c r="A6">
        <v>5</v>
      </c>
      <c r="B6" t="s">
        <v>31</v>
      </c>
      <c r="C6" t="s">
        <v>32</v>
      </c>
    </row>
    <row r="7" spans="1:3" x14ac:dyDescent="0.25">
      <c r="A7">
        <v>6</v>
      </c>
      <c r="B7" t="s">
        <v>33</v>
      </c>
      <c r="C7" t="s">
        <v>34</v>
      </c>
    </row>
    <row r="8" spans="1:3" x14ac:dyDescent="0.25">
      <c r="A8">
        <v>7</v>
      </c>
      <c r="B8" t="s">
        <v>35</v>
      </c>
      <c r="C8" t="s">
        <v>36</v>
      </c>
    </row>
    <row r="9" spans="1:3" x14ac:dyDescent="0.25">
      <c r="A9">
        <v>8</v>
      </c>
      <c r="B9" t="s">
        <v>37</v>
      </c>
      <c r="C9" t="s">
        <v>38</v>
      </c>
    </row>
    <row r="10" spans="1:3" x14ac:dyDescent="0.25">
      <c r="A10">
        <v>9</v>
      </c>
      <c r="B10" t="s">
        <v>39</v>
      </c>
      <c r="C10" t="s">
        <v>40</v>
      </c>
    </row>
    <row r="11" spans="1:3" x14ac:dyDescent="0.25">
      <c r="A11">
        <v>10</v>
      </c>
      <c r="B11" t="s">
        <v>41</v>
      </c>
      <c r="C11" t="s">
        <v>42</v>
      </c>
    </row>
    <row r="12" spans="1:3" x14ac:dyDescent="0.25">
      <c r="A12">
        <v>11</v>
      </c>
      <c r="B12" t="s">
        <v>43</v>
      </c>
      <c r="C12" t="s">
        <v>44</v>
      </c>
    </row>
    <row r="13" spans="1:3" x14ac:dyDescent="0.25">
      <c r="A13">
        <v>12</v>
      </c>
      <c r="B13" t="s">
        <v>45</v>
      </c>
      <c r="C13" t="s">
        <v>46</v>
      </c>
    </row>
    <row r="14" spans="1:3" x14ac:dyDescent="0.25">
      <c r="A14">
        <v>13</v>
      </c>
      <c r="B14" t="s">
        <v>47</v>
      </c>
      <c r="C14" t="s">
        <v>48</v>
      </c>
    </row>
    <row r="15" spans="1:3" x14ac:dyDescent="0.25">
      <c r="A15">
        <v>14</v>
      </c>
      <c r="B15" t="s">
        <v>49</v>
      </c>
      <c r="C15" t="s">
        <v>50</v>
      </c>
    </row>
    <row r="16" spans="1:3" x14ac:dyDescent="0.25">
      <c r="A16">
        <v>15</v>
      </c>
      <c r="B16" t="s">
        <v>51</v>
      </c>
      <c r="C16" t="s">
        <v>52</v>
      </c>
    </row>
    <row r="17" spans="1:3" x14ac:dyDescent="0.25">
      <c r="A17">
        <v>16</v>
      </c>
      <c r="B17" t="s">
        <v>53</v>
      </c>
      <c r="C17" t="s">
        <v>54</v>
      </c>
    </row>
    <row r="18" spans="1:3" x14ac:dyDescent="0.25">
      <c r="A18">
        <v>17</v>
      </c>
      <c r="B18" t="s">
        <v>55</v>
      </c>
      <c r="C18" t="s">
        <v>56</v>
      </c>
    </row>
    <row r="19" spans="1:3" x14ac:dyDescent="0.25">
      <c r="A19">
        <v>18</v>
      </c>
      <c r="B19" t="s">
        <v>57</v>
      </c>
      <c r="C19" t="s">
        <v>58</v>
      </c>
    </row>
    <row r="20" spans="1:3" x14ac:dyDescent="0.25">
      <c r="A20">
        <v>19</v>
      </c>
      <c r="B20" t="s">
        <v>59</v>
      </c>
      <c r="C20" t="s">
        <v>60</v>
      </c>
    </row>
    <row r="21" spans="1:3" x14ac:dyDescent="0.25">
      <c r="A21">
        <v>20</v>
      </c>
      <c r="B21" t="s">
        <v>61</v>
      </c>
      <c r="C21" t="s">
        <v>62</v>
      </c>
    </row>
    <row r="22" spans="1:3" x14ac:dyDescent="0.25">
      <c r="A22">
        <v>21</v>
      </c>
      <c r="B22" t="s">
        <v>63</v>
      </c>
      <c r="C22" t="s">
        <v>64</v>
      </c>
    </row>
    <row r="23" spans="1:3" x14ac:dyDescent="0.25">
      <c r="A23">
        <v>22</v>
      </c>
      <c r="B23" t="s">
        <v>65</v>
      </c>
      <c r="C23" t="s">
        <v>66</v>
      </c>
    </row>
    <row r="24" spans="1:3" x14ac:dyDescent="0.25">
      <c r="A24">
        <v>23</v>
      </c>
      <c r="B24" t="s">
        <v>67</v>
      </c>
      <c r="C24" t="s">
        <v>68</v>
      </c>
    </row>
    <row r="25" spans="1:3" x14ac:dyDescent="0.25">
      <c r="A25">
        <v>24</v>
      </c>
      <c r="B25" t="s">
        <v>69</v>
      </c>
      <c r="C25" t="s">
        <v>70</v>
      </c>
    </row>
    <row r="26" spans="1:3" x14ac:dyDescent="0.25">
      <c r="A26">
        <v>25</v>
      </c>
      <c r="B26" t="s">
        <v>71</v>
      </c>
      <c r="C26" t="s">
        <v>72</v>
      </c>
    </row>
    <row r="27" spans="1:3" x14ac:dyDescent="0.25">
      <c r="A27">
        <v>26</v>
      </c>
      <c r="B27" t="s">
        <v>73</v>
      </c>
      <c r="C27" t="s">
        <v>74</v>
      </c>
    </row>
    <row r="28" spans="1:3" x14ac:dyDescent="0.25">
      <c r="A28">
        <v>27</v>
      </c>
      <c r="B28" t="s">
        <v>75</v>
      </c>
      <c r="C28" t="s">
        <v>76</v>
      </c>
    </row>
    <row r="29" spans="1:3" x14ac:dyDescent="0.25">
      <c r="A29">
        <v>28</v>
      </c>
      <c r="B29" t="s">
        <v>77</v>
      </c>
      <c r="C29" t="s">
        <v>78</v>
      </c>
    </row>
    <row r="30" spans="1:3" x14ac:dyDescent="0.25">
      <c r="A30">
        <v>29</v>
      </c>
      <c r="B30" t="s">
        <v>79</v>
      </c>
      <c r="C30" t="s">
        <v>80</v>
      </c>
    </row>
    <row r="31" spans="1:3" x14ac:dyDescent="0.25">
      <c r="A31">
        <v>30</v>
      </c>
      <c r="B31" t="s">
        <v>81</v>
      </c>
      <c r="C31" t="s">
        <v>82</v>
      </c>
    </row>
    <row r="32" spans="1:3" x14ac:dyDescent="0.25">
      <c r="A32">
        <v>31</v>
      </c>
      <c r="B32" t="s">
        <v>83</v>
      </c>
      <c r="C32" t="s">
        <v>84</v>
      </c>
    </row>
    <row r="33" spans="1:3" x14ac:dyDescent="0.25">
      <c r="A33">
        <v>32</v>
      </c>
      <c r="B33" t="s">
        <v>85</v>
      </c>
      <c r="C33" t="s">
        <v>86</v>
      </c>
    </row>
    <row r="34" spans="1:3" x14ac:dyDescent="0.25">
      <c r="A34">
        <v>33</v>
      </c>
      <c r="B34" t="s">
        <v>87</v>
      </c>
      <c r="C34" t="s">
        <v>88</v>
      </c>
    </row>
    <row r="35" spans="1:3" x14ac:dyDescent="0.25">
      <c r="A35">
        <v>34</v>
      </c>
      <c r="B35" t="s">
        <v>89</v>
      </c>
      <c r="C35" t="s">
        <v>90</v>
      </c>
    </row>
    <row r="36" spans="1:3" x14ac:dyDescent="0.25">
      <c r="A36">
        <v>35</v>
      </c>
      <c r="B36" t="s">
        <v>91</v>
      </c>
      <c r="C36" t="s">
        <v>92</v>
      </c>
    </row>
    <row r="37" spans="1:3" x14ac:dyDescent="0.25">
      <c r="A37">
        <v>36</v>
      </c>
      <c r="B37" t="s">
        <v>93</v>
      </c>
      <c r="C37" t="s">
        <v>94</v>
      </c>
    </row>
    <row r="38" spans="1:3" x14ac:dyDescent="0.25">
      <c r="A38">
        <v>37</v>
      </c>
      <c r="B38" t="s">
        <v>95</v>
      </c>
      <c r="C38" t="s">
        <v>96</v>
      </c>
    </row>
    <row r="39" spans="1:3" x14ac:dyDescent="0.25">
      <c r="A39">
        <v>38</v>
      </c>
      <c r="B39" t="s">
        <v>97</v>
      </c>
      <c r="C39" t="s">
        <v>98</v>
      </c>
    </row>
    <row r="40" spans="1:3" x14ac:dyDescent="0.25">
      <c r="A40">
        <v>39</v>
      </c>
      <c r="B40" t="s">
        <v>99</v>
      </c>
      <c r="C40" t="s">
        <v>100</v>
      </c>
    </row>
    <row r="41" spans="1:3" x14ac:dyDescent="0.25">
      <c r="A41">
        <v>40</v>
      </c>
      <c r="B41" t="s">
        <v>101</v>
      </c>
      <c r="C41" t="s">
        <v>102</v>
      </c>
    </row>
    <row r="42" spans="1:3" x14ac:dyDescent="0.25">
      <c r="A42">
        <v>41</v>
      </c>
      <c r="B42" t="s">
        <v>103</v>
      </c>
      <c r="C42" t="s">
        <v>104</v>
      </c>
    </row>
    <row r="43" spans="1:3" x14ac:dyDescent="0.25">
      <c r="A43">
        <v>42</v>
      </c>
      <c r="B43" t="s">
        <v>105</v>
      </c>
      <c r="C43" t="s">
        <v>106</v>
      </c>
    </row>
    <row r="44" spans="1:3" x14ac:dyDescent="0.25">
      <c r="A44">
        <v>43</v>
      </c>
      <c r="B44" t="s">
        <v>107</v>
      </c>
      <c r="C44" t="s">
        <v>108</v>
      </c>
    </row>
    <row r="45" spans="1:3" x14ac:dyDescent="0.25">
      <c r="A45">
        <v>44</v>
      </c>
      <c r="B45" t="s">
        <v>109</v>
      </c>
      <c r="C45" t="s">
        <v>110</v>
      </c>
    </row>
    <row r="46" spans="1:3" x14ac:dyDescent="0.25">
      <c r="A46">
        <v>45</v>
      </c>
      <c r="B46" t="s">
        <v>111</v>
      </c>
      <c r="C46" t="s">
        <v>112</v>
      </c>
    </row>
    <row r="47" spans="1:3" x14ac:dyDescent="0.25">
      <c r="A47">
        <v>46</v>
      </c>
      <c r="B47" t="s">
        <v>113</v>
      </c>
      <c r="C47" t="s">
        <v>114</v>
      </c>
    </row>
    <row r="48" spans="1:3" x14ac:dyDescent="0.25">
      <c r="A48">
        <v>47</v>
      </c>
      <c r="B48" t="s">
        <v>115</v>
      </c>
      <c r="C48" t="s">
        <v>116</v>
      </c>
    </row>
    <row r="49" spans="1:3" x14ac:dyDescent="0.25">
      <c r="A49">
        <v>48</v>
      </c>
      <c r="B49" t="s">
        <v>117</v>
      </c>
      <c r="C49" t="s">
        <v>118</v>
      </c>
    </row>
    <row r="50" spans="1:3" x14ac:dyDescent="0.25">
      <c r="A50">
        <v>49</v>
      </c>
      <c r="B50" t="s">
        <v>119</v>
      </c>
      <c r="C50" t="s">
        <v>120</v>
      </c>
    </row>
    <row r="51" spans="1:3" x14ac:dyDescent="0.25">
      <c r="A51">
        <v>50</v>
      </c>
      <c r="B51" t="s">
        <v>121</v>
      </c>
      <c r="C51" t="s">
        <v>122</v>
      </c>
    </row>
    <row r="52" spans="1:3" x14ac:dyDescent="0.25">
      <c r="A52">
        <v>51</v>
      </c>
      <c r="B52" t="s">
        <v>123</v>
      </c>
      <c r="C52" t="s">
        <v>124</v>
      </c>
    </row>
    <row r="53" spans="1:3" x14ac:dyDescent="0.25">
      <c r="A53">
        <v>52</v>
      </c>
      <c r="B53" t="s">
        <v>125</v>
      </c>
      <c r="C53" t="s">
        <v>126</v>
      </c>
    </row>
    <row r="54" spans="1:3" x14ac:dyDescent="0.25">
      <c r="A54">
        <v>53</v>
      </c>
      <c r="B54" t="s">
        <v>127</v>
      </c>
      <c r="C54" t="s">
        <v>128</v>
      </c>
    </row>
    <row r="55" spans="1:3" x14ac:dyDescent="0.25">
      <c r="A55">
        <v>54</v>
      </c>
      <c r="B55" t="s">
        <v>129</v>
      </c>
      <c r="C55" t="s">
        <v>130</v>
      </c>
    </row>
    <row r="56" spans="1:3" x14ac:dyDescent="0.25">
      <c r="A56">
        <v>55</v>
      </c>
      <c r="B56" t="s">
        <v>131</v>
      </c>
      <c r="C56" t="s">
        <v>132</v>
      </c>
    </row>
    <row r="57" spans="1:3" x14ac:dyDescent="0.25">
      <c r="A57">
        <v>56</v>
      </c>
      <c r="B57" t="s">
        <v>133</v>
      </c>
      <c r="C57" t="s">
        <v>134</v>
      </c>
    </row>
    <row r="58" spans="1:3" x14ac:dyDescent="0.25">
      <c r="A58">
        <v>57</v>
      </c>
      <c r="B58" t="s">
        <v>135</v>
      </c>
      <c r="C58" t="s">
        <v>136</v>
      </c>
    </row>
    <row r="59" spans="1:3" x14ac:dyDescent="0.25">
      <c r="A59">
        <v>58</v>
      </c>
      <c r="B59" t="s">
        <v>137</v>
      </c>
      <c r="C59" t="s">
        <v>138</v>
      </c>
    </row>
    <row r="60" spans="1:3" x14ac:dyDescent="0.25">
      <c r="A60">
        <v>59</v>
      </c>
      <c r="B60" t="s">
        <v>139</v>
      </c>
      <c r="C60" t="s">
        <v>140</v>
      </c>
    </row>
    <row r="61" spans="1:3" x14ac:dyDescent="0.25">
      <c r="A61">
        <v>60</v>
      </c>
      <c r="B61" t="s">
        <v>141</v>
      </c>
      <c r="C61" t="s">
        <v>142</v>
      </c>
    </row>
    <row r="62" spans="1:3" x14ac:dyDescent="0.25">
      <c r="A62">
        <v>61</v>
      </c>
      <c r="B62" t="s">
        <v>143</v>
      </c>
      <c r="C62" t="s">
        <v>144</v>
      </c>
    </row>
    <row r="63" spans="1:3" x14ac:dyDescent="0.25">
      <c r="A63">
        <v>62</v>
      </c>
      <c r="B63" t="s">
        <v>145</v>
      </c>
      <c r="C63" t="s">
        <v>146</v>
      </c>
    </row>
    <row r="64" spans="1:3" x14ac:dyDescent="0.25">
      <c r="A64">
        <v>63</v>
      </c>
      <c r="B64" t="s">
        <v>147</v>
      </c>
      <c r="C64" t="s">
        <v>148</v>
      </c>
    </row>
    <row r="65" spans="1:3" x14ac:dyDescent="0.25">
      <c r="A65">
        <v>64</v>
      </c>
      <c r="B65" t="s">
        <v>149</v>
      </c>
      <c r="C65" t="s">
        <v>150</v>
      </c>
    </row>
    <row r="66" spans="1:3" x14ac:dyDescent="0.25">
      <c r="A66">
        <v>65</v>
      </c>
      <c r="B66" t="s">
        <v>151</v>
      </c>
      <c r="C66" t="s">
        <v>152</v>
      </c>
    </row>
    <row r="67" spans="1:3" x14ac:dyDescent="0.25">
      <c r="A67">
        <v>66</v>
      </c>
      <c r="B67" t="s">
        <v>153</v>
      </c>
      <c r="C67" t="s">
        <v>154</v>
      </c>
    </row>
    <row r="68" spans="1:3" x14ac:dyDescent="0.25">
      <c r="A68">
        <v>67</v>
      </c>
      <c r="B68" t="s">
        <v>155</v>
      </c>
      <c r="C68" t="s">
        <v>156</v>
      </c>
    </row>
    <row r="69" spans="1:3" x14ac:dyDescent="0.25">
      <c r="A69">
        <v>68</v>
      </c>
      <c r="B69" t="s">
        <v>157</v>
      </c>
      <c r="C69" t="s">
        <v>158</v>
      </c>
    </row>
    <row r="70" spans="1:3" x14ac:dyDescent="0.25">
      <c r="A70">
        <v>69</v>
      </c>
      <c r="B70" t="s">
        <v>159</v>
      </c>
      <c r="C70" t="s">
        <v>160</v>
      </c>
    </row>
    <row r="71" spans="1:3" x14ac:dyDescent="0.25">
      <c r="A71">
        <v>70</v>
      </c>
      <c r="B71" t="s">
        <v>161</v>
      </c>
      <c r="C71" t="s">
        <v>162</v>
      </c>
    </row>
    <row r="72" spans="1:3" x14ac:dyDescent="0.25">
      <c r="A72">
        <v>71</v>
      </c>
      <c r="B72" t="s">
        <v>163</v>
      </c>
      <c r="C72" t="s">
        <v>164</v>
      </c>
    </row>
    <row r="73" spans="1:3" x14ac:dyDescent="0.25">
      <c r="A73">
        <v>72</v>
      </c>
      <c r="B73" t="s">
        <v>165</v>
      </c>
      <c r="C73" t="s">
        <v>166</v>
      </c>
    </row>
    <row r="74" spans="1:3" x14ac:dyDescent="0.25">
      <c r="A74">
        <v>73</v>
      </c>
      <c r="B74" t="s">
        <v>167</v>
      </c>
      <c r="C74" t="s">
        <v>168</v>
      </c>
    </row>
    <row r="75" spans="1:3" x14ac:dyDescent="0.25">
      <c r="A75">
        <v>74</v>
      </c>
      <c r="B75" t="s">
        <v>169</v>
      </c>
      <c r="C75" t="s">
        <v>170</v>
      </c>
    </row>
    <row r="76" spans="1:3" x14ac:dyDescent="0.25">
      <c r="A76">
        <v>75</v>
      </c>
      <c r="B76" t="s">
        <v>171</v>
      </c>
      <c r="C76" t="s">
        <v>172</v>
      </c>
    </row>
    <row r="77" spans="1:3" x14ac:dyDescent="0.25">
      <c r="A77">
        <v>76</v>
      </c>
      <c r="B77" t="s">
        <v>173</v>
      </c>
      <c r="C77" t="s">
        <v>174</v>
      </c>
    </row>
    <row r="78" spans="1:3" x14ac:dyDescent="0.25">
      <c r="A78">
        <v>77</v>
      </c>
      <c r="B78" t="s">
        <v>175</v>
      </c>
      <c r="C78" t="s">
        <v>176</v>
      </c>
    </row>
    <row r="79" spans="1:3" x14ac:dyDescent="0.25">
      <c r="A79">
        <v>78</v>
      </c>
      <c r="B79" t="s">
        <v>177</v>
      </c>
      <c r="C79" t="s">
        <v>178</v>
      </c>
    </row>
    <row r="80" spans="1:3" x14ac:dyDescent="0.25">
      <c r="A80">
        <v>79</v>
      </c>
      <c r="B80" t="s">
        <v>179</v>
      </c>
      <c r="C80" t="s">
        <v>180</v>
      </c>
    </row>
    <row r="81" spans="1:3" x14ac:dyDescent="0.25">
      <c r="A81">
        <v>80</v>
      </c>
      <c r="B81" t="s">
        <v>181</v>
      </c>
      <c r="C81" t="s">
        <v>182</v>
      </c>
    </row>
    <row r="82" spans="1:3" x14ac:dyDescent="0.25">
      <c r="A82">
        <v>81</v>
      </c>
      <c r="B82" t="s">
        <v>183</v>
      </c>
      <c r="C82" t="s">
        <v>184</v>
      </c>
    </row>
    <row r="83" spans="1:3" x14ac:dyDescent="0.25">
      <c r="A83">
        <v>82</v>
      </c>
      <c r="B83" t="s">
        <v>185</v>
      </c>
      <c r="C83" t="s">
        <v>186</v>
      </c>
    </row>
    <row r="84" spans="1:3" x14ac:dyDescent="0.25">
      <c r="A84">
        <v>83</v>
      </c>
      <c r="B84" t="s">
        <v>187</v>
      </c>
      <c r="C84" t="s">
        <v>188</v>
      </c>
    </row>
    <row r="85" spans="1:3" x14ac:dyDescent="0.25">
      <c r="A85">
        <v>84</v>
      </c>
      <c r="B85" t="s">
        <v>189</v>
      </c>
      <c r="C85" t="s">
        <v>190</v>
      </c>
    </row>
    <row r="86" spans="1:3" x14ac:dyDescent="0.25">
      <c r="A86">
        <v>85</v>
      </c>
      <c r="B86" t="s">
        <v>191</v>
      </c>
      <c r="C86" t="s">
        <v>192</v>
      </c>
    </row>
    <row r="87" spans="1:3" x14ac:dyDescent="0.25">
      <c r="A87">
        <v>86</v>
      </c>
      <c r="B87" t="s">
        <v>193</v>
      </c>
      <c r="C87" t="s">
        <v>194</v>
      </c>
    </row>
    <row r="88" spans="1:3" x14ac:dyDescent="0.25">
      <c r="A88">
        <v>87</v>
      </c>
      <c r="B88" t="s">
        <v>195</v>
      </c>
      <c r="C88" t="s">
        <v>196</v>
      </c>
    </row>
    <row r="89" spans="1:3" x14ac:dyDescent="0.25">
      <c r="A89">
        <v>88</v>
      </c>
      <c r="B89" t="s">
        <v>197</v>
      </c>
      <c r="C89" t="s">
        <v>198</v>
      </c>
    </row>
    <row r="90" spans="1:3" x14ac:dyDescent="0.25">
      <c r="A90">
        <v>89</v>
      </c>
      <c r="B90" t="s">
        <v>199</v>
      </c>
      <c r="C90" t="s">
        <v>200</v>
      </c>
    </row>
    <row r="91" spans="1:3" x14ac:dyDescent="0.25">
      <c r="A91">
        <v>90</v>
      </c>
      <c r="B91" t="s">
        <v>201</v>
      </c>
      <c r="C91" t="s">
        <v>202</v>
      </c>
    </row>
    <row r="92" spans="1:3" x14ac:dyDescent="0.25">
      <c r="A92">
        <v>91</v>
      </c>
      <c r="B92" t="s">
        <v>203</v>
      </c>
      <c r="C92" t="s">
        <v>204</v>
      </c>
    </row>
    <row r="93" spans="1:3" x14ac:dyDescent="0.25">
      <c r="A93">
        <v>92</v>
      </c>
      <c r="B93" t="s">
        <v>205</v>
      </c>
      <c r="C93" t="s">
        <v>206</v>
      </c>
    </row>
    <row r="94" spans="1:3" x14ac:dyDescent="0.25">
      <c r="A94">
        <v>93</v>
      </c>
      <c r="B94" t="s">
        <v>207</v>
      </c>
      <c r="C94" t="s">
        <v>208</v>
      </c>
    </row>
    <row r="95" spans="1:3" x14ac:dyDescent="0.25">
      <c r="A95">
        <v>94</v>
      </c>
      <c r="B95" t="s">
        <v>209</v>
      </c>
      <c r="C95" t="s">
        <v>210</v>
      </c>
    </row>
    <row r="96" spans="1:3" x14ac:dyDescent="0.25">
      <c r="A96">
        <v>95</v>
      </c>
      <c r="B96" t="s">
        <v>211</v>
      </c>
      <c r="C96" t="s">
        <v>212</v>
      </c>
    </row>
    <row r="97" spans="1:3" x14ac:dyDescent="0.25">
      <c r="A97">
        <v>96</v>
      </c>
      <c r="B97" t="s">
        <v>213</v>
      </c>
      <c r="C97" t="s">
        <v>214</v>
      </c>
    </row>
    <row r="98" spans="1:3" x14ac:dyDescent="0.25">
      <c r="A98">
        <v>97</v>
      </c>
      <c r="B98" t="s">
        <v>215</v>
      </c>
      <c r="C98" t="s">
        <v>216</v>
      </c>
    </row>
    <row r="99" spans="1:3" x14ac:dyDescent="0.25">
      <c r="A99">
        <v>98</v>
      </c>
      <c r="B99" t="s">
        <v>217</v>
      </c>
      <c r="C99" t="s">
        <v>218</v>
      </c>
    </row>
    <row r="100" spans="1:3" x14ac:dyDescent="0.25">
      <c r="A100">
        <v>99</v>
      </c>
      <c r="B100" t="s">
        <v>219</v>
      </c>
      <c r="C100" t="s">
        <v>220</v>
      </c>
    </row>
    <row r="101" spans="1:3" x14ac:dyDescent="0.25">
      <c r="A101">
        <v>100</v>
      </c>
      <c r="B101" t="s">
        <v>221</v>
      </c>
      <c r="C101" t="s">
        <v>222</v>
      </c>
    </row>
    <row r="102" spans="1:3" x14ac:dyDescent="0.25">
      <c r="A102">
        <v>101</v>
      </c>
      <c r="B102" t="s">
        <v>223</v>
      </c>
      <c r="C102" t="s">
        <v>224</v>
      </c>
    </row>
    <row r="103" spans="1:3" x14ac:dyDescent="0.25">
      <c r="A103">
        <v>102</v>
      </c>
      <c r="B103" t="s">
        <v>225</v>
      </c>
      <c r="C103" t="s">
        <v>226</v>
      </c>
    </row>
    <row r="104" spans="1:3" x14ac:dyDescent="0.25">
      <c r="A104">
        <v>103</v>
      </c>
      <c r="B104" t="s">
        <v>227</v>
      </c>
      <c r="C104" t="s">
        <v>228</v>
      </c>
    </row>
    <row r="105" spans="1:3" x14ac:dyDescent="0.25">
      <c r="A105">
        <v>104</v>
      </c>
      <c r="B105" t="s">
        <v>229</v>
      </c>
      <c r="C105" t="s">
        <v>230</v>
      </c>
    </row>
    <row r="106" spans="1:3" x14ac:dyDescent="0.25">
      <c r="A106">
        <v>105</v>
      </c>
      <c r="B106" t="s">
        <v>231</v>
      </c>
      <c r="C106" t="s">
        <v>232</v>
      </c>
    </row>
    <row r="107" spans="1:3" x14ac:dyDescent="0.25">
      <c r="A107">
        <v>106</v>
      </c>
      <c r="B107" t="s">
        <v>233</v>
      </c>
      <c r="C107" t="s">
        <v>234</v>
      </c>
    </row>
    <row r="108" spans="1:3" x14ac:dyDescent="0.25">
      <c r="A108">
        <v>107</v>
      </c>
      <c r="B108" t="s">
        <v>235</v>
      </c>
      <c r="C108" t="s">
        <v>236</v>
      </c>
    </row>
    <row r="109" spans="1:3" x14ac:dyDescent="0.25">
      <c r="A109">
        <v>108</v>
      </c>
      <c r="B109" t="s">
        <v>237</v>
      </c>
      <c r="C109" t="s">
        <v>238</v>
      </c>
    </row>
    <row r="110" spans="1:3" x14ac:dyDescent="0.25">
      <c r="A110">
        <v>109</v>
      </c>
      <c r="B110" t="s">
        <v>239</v>
      </c>
      <c r="C110" t="s">
        <v>240</v>
      </c>
    </row>
    <row r="111" spans="1:3" x14ac:dyDescent="0.25">
      <c r="A111">
        <v>110</v>
      </c>
      <c r="B111" t="s">
        <v>241</v>
      </c>
      <c r="C111" t="s">
        <v>242</v>
      </c>
    </row>
    <row r="112" spans="1:3" x14ac:dyDescent="0.25">
      <c r="A112">
        <v>111</v>
      </c>
      <c r="B112" t="s">
        <v>243</v>
      </c>
      <c r="C112" t="s">
        <v>244</v>
      </c>
    </row>
    <row r="113" spans="1:3" x14ac:dyDescent="0.25">
      <c r="A113">
        <v>112</v>
      </c>
      <c r="B113" t="s">
        <v>245</v>
      </c>
      <c r="C113" t="s">
        <v>246</v>
      </c>
    </row>
    <row r="114" spans="1:3" x14ac:dyDescent="0.25">
      <c r="A114">
        <v>113</v>
      </c>
      <c r="B114" t="s">
        <v>247</v>
      </c>
      <c r="C114" t="s">
        <v>248</v>
      </c>
    </row>
    <row r="115" spans="1:3" x14ac:dyDescent="0.25">
      <c r="A115">
        <v>114</v>
      </c>
      <c r="B115" t="s">
        <v>249</v>
      </c>
      <c r="C115" t="s">
        <v>250</v>
      </c>
    </row>
    <row r="116" spans="1:3" x14ac:dyDescent="0.25">
      <c r="A116">
        <v>115</v>
      </c>
      <c r="B116" t="s">
        <v>251</v>
      </c>
      <c r="C116" t="s">
        <v>252</v>
      </c>
    </row>
    <row r="117" spans="1:3" x14ac:dyDescent="0.25">
      <c r="A117">
        <v>116</v>
      </c>
      <c r="B117" t="s">
        <v>253</v>
      </c>
      <c r="C117" t="s">
        <v>254</v>
      </c>
    </row>
    <row r="118" spans="1:3" x14ac:dyDescent="0.25">
      <c r="A118">
        <v>117</v>
      </c>
      <c r="B118" t="s">
        <v>255</v>
      </c>
      <c r="C118" t="s">
        <v>256</v>
      </c>
    </row>
    <row r="119" spans="1:3" x14ac:dyDescent="0.25">
      <c r="A119">
        <v>118</v>
      </c>
      <c r="B119" t="s">
        <v>257</v>
      </c>
      <c r="C119" t="s">
        <v>258</v>
      </c>
    </row>
    <row r="120" spans="1:3" x14ac:dyDescent="0.25">
      <c r="A120">
        <v>119</v>
      </c>
      <c r="B120" t="s">
        <v>259</v>
      </c>
      <c r="C120" t="s">
        <v>260</v>
      </c>
    </row>
    <row r="121" spans="1:3" x14ac:dyDescent="0.25">
      <c r="A121">
        <v>120</v>
      </c>
      <c r="B121" t="s">
        <v>261</v>
      </c>
      <c r="C121" t="s">
        <v>262</v>
      </c>
    </row>
    <row r="122" spans="1:3" x14ac:dyDescent="0.25">
      <c r="A122">
        <v>121</v>
      </c>
      <c r="B122" t="s">
        <v>263</v>
      </c>
      <c r="C122" t="s">
        <v>264</v>
      </c>
    </row>
    <row r="123" spans="1:3" x14ac:dyDescent="0.25">
      <c r="A123">
        <v>122</v>
      </c>
      <c r="B123" t="s">
        <v>265</v>
      </c>
      <c r="C123" t="s">
        <v>266</v>
      </c>
    </row>
    <row r="124" spans="1:3" x14ac:dyDescent="0.25">
      <c r="A124">
        <v>123</v>
      </c>
      <c r="B124" t="s">
        <v>267</v>
      </c>
      <c r="C124" t="s">
        <v>268</v>
      </c>
    </row>
    <row r="125" spans="1:3" x14ac:dyDescent="0.25">
      <c r="A125">
        <v>124</v>
      </c>
      <c r="B125" t="s">
        <v>269</v>
      </c>
      <c r="C125" t="s">
        <v>270</v>
      </c>
    </row>
    <row r="126" spans="1:3" x14ac:dyDescent="0.25">
      <c r="A126">
        <v>125</v>
      </c>
      <c r="B126" t="s">
        <v>271</v>
      </c>
      <c r="C126" t="s">
        <v>272</v>
      </c>
    </row>
    <row r="127" spans="1:3" x14ac:dyDescent="0.25">
      <c r="A127">
        <v>126</v>
      </c>
      <c r="B127" t="s">
        <v>273</v>
      </c>
      <c r="C127" t="s">
        <v>274</v>
      </c>
    </row>
    <row r="128" spans="1:3" x14ac:dyDescent="0.25">
      <c r="A128">
        <v>127</v>
      </c>
      <c r="B128" t="s">
        <v>275</v>
      </c>
      <c r="C128" t="s">
        <v>276</v>
      </c>
    </row>
    <row r="129" spans="1:3" x14ac:dyDescent="0.25">
      <c r="A129">
        <v>128</v>
      </c>
      <c r="B129" t="s">
        <v>277</v>
      </c>
      <c r="C129" t="s">
        <v>278</v>
      </c>
    </row>
    <row r="130" spans="1:3" x14ac:dyDescent="0.25">
      <c r="A130">
        <v>129</v>
      </c>
      <c r="B130" t="s">
        <v>279</v>
      </c>
      <c r="C130" t="s">
        <v>280</v>
      </c>
    </row>
    <row r="131" spans="1:3" x14ac:dyDescent="0.25">
      <c r="A131">
        <v>130</v>
      </c>
      <c r="B131" t="s">
        <v>281</v>
      </c>
      <c r="C131" t="s">
        <v>282</v>
      </c>
    </row>
    <row r="132" spans="1:3" x14ac:dyDescent="0.25">
      <c r="A132">
        <v>131</v>
      </c>
      <c r="B132" t="s">
        <v>283</v>
      </c>
      <c r="C132" t="s">
        <v>284</v>
      </c>
    </row>
    <row r="133" spans="1:3" x14ac:dyDescent="0.25">
      <c r="A133">
        <v>132</v>
      </c>
      <c r="B133" t="s">
        <v>285</v>
      </c>
      <c r="C133" t="s">
        <v>286</v>
      </c>
    </row>
    <row r="134" spans="1:3" x14ac:dyDescent="0.25">
      <c r="A134">
        <v>133</v>
      </c>
      <c r="B134" t="s">
        <v>287</v>
      </c>
      <c r="C134" t="s">
        <v>288</v>
      </c>
    </row>
    <row r="135" spans="1:3" x14ac:dyDescent="0.25">
      <c r="A135">
        <v>134</v>
      </c>
      <c r="B135" t="s">
        <v>289</v>
      </c>
      <c r="C135" t="s">
        <v>290</v>
      </c>
    </row>
    <row r="136" spans="1:3" x14ac:dyDescent="0.25">
      <c r="A136">
        <v>135</v>
      </c>
      <c r="B136" t="s">
        <v>291</v>
      </c>
      <c r="C136" t="s">
        <v>292</v>
      </c>
    </row>
    <row r="137" spans="1:3" x14ac:dyDescent="0.25">
      <c r="A137">
        <v>136</v>
      </c>
      <c r="B137" t="s">
        <v>293</v>
      </c>
      <c r="C137" t="s">
        <v>294</v>
      </c>
    </row>
    <row r="138" spans="1:3" x14ac:dyDescent="0.25">
      <c r="A138">
        <v>137</v>
      </c>
      <c r="B138" t="s">
        <v>295</v>
      </c>
      <c r="C138" t="s">
        <v>296</v>
      </c>
    </row>
    <row r="139" spans="1:3" x14ac:dyDescent="0.25">
      <c r="A139">
        <v>138</v>
      </c>
      <c r="B139" t="s">
        <v>297</v>
      </c>
      <c r="C139" t="s">
        <v>298</v>
      </c>
    </row>
    <row r="140" spans="1:3" x14ac:dyDescent="0.25">
      <c r="A140">
        <v>139</v>
      </c>
      <c r="B140" t="s">
        <v>299</v>
      </c>
      <c r="C140" t="s">
        <v>300</v>
      </c>
    </row>
    <row r="141" spans="1:3" x14ac:dyDescent="0.25">
      <c r="A141">
        <v>140</v>
      </c>
      <c r="B141" t="s">
        <v>301</v>
      </c>
      <c r="C141" t="s">
        <v>302</v>
      </c>
    </row>
    <row r="142" spans="1:3" x14ac:dyDescent="0.25">
      <c r="A142">
        <v>141</v>
      </c>
      <c r="B142" t="s">
        <v>303</v>
      </c>
      <c r="C142" t="s">
        <v>304</v>
      </c>
    </row>
    <row r="143" spans="1:3" x14ac:dyDescent="0.25">
      <c r="A143">
        <v>142</v>
      </c>
      <c r="B143" t="s">
        <v>305</v>
      </c>
      <c r="C143" t="s">
        <v>306</v>
      </c>
    </row>
    <row r="144" spans="1:3" x14ac:dyDescent="0.25">
      <c r="A144">
        <v>143</v>
      </c>
      <c r="B144" t="s">
        <v>307</v>
      </c>
      <c r="C144" t="s">
        <v>308</v>
      </c>
    </row>
    <row r="145" spans="1:3" x14ac:dyDescent="0.25">
      <c r="A145">
        <v>144</v>
      </c>
      <c r="B145" t="s">
        <v>309</v>
      </c>
      <c r="C145" t="s">
        <v>310</v>
      </c>
    </row>
    <row r="146" spans="1:3" x14ac:dyDescent="0.25">
      <c r="A146">
        <v>145</v>
      </c>
      <c r="B146" t="s">
        <v>311</v>
      </c>
      <c r="C146" t="s">
        <v>312</v>
      </c>
    </row>
    <row r="147" spans="1:3" x14ac:dyDescent="0.25">
      <c r="A147">
        <v>146</v>
      </c>
      <c r="B147" t="s">
        <v>313</v>
      </c>
      <c r="C147" t="s">
        <v>314</v>
      </c>
    </row>
    <row r="148" spans="1:3" x14ac:dyDescent="0.25">
      <c r="A148">
        <v>147</v>
      </c>
      <c r="B148" t="s">
        <v>315</v>
      </c>
      <c r="C148" t="s">
        <v>316</v>
      </c>
    </row>
    <row r="149" spans="1:3" x14ac:dyDescent="0.25">
      <c r="A149">
        <v>148</v>
      </c>
      <c r="B149" t="s">
        <v>317</v>
      </c>
      <c r="C149" t="s">
        <v>318</v>
      </c>
    </row>
    <row r="150" spans="1:3" x14ac:dyDescent="0.25">
      <c r="A150">
        <v>149</v>
      </c>
      <c r="B150" t="s">
        <v>319</v>
      </c>
      <c r="C150" t="s">
        <v>320</v>
      </c>
    </row>
    <row r="151" spans="1:3" x14ac:dyDescent="0.25">
      <c r="A151">
        <v>150</v>
      </c>
      <c r="B151" t="s">
        <v>321</v>
      </c>
      <c r="C151" t="s">
        <v>322</v>
      </c>
    </row>
    <row r="152" spans="1:3" x14ac:dyDescent="0.25">
      <c r="A152">
        <v>151</v>
      </c>
      <c r="B152" t="s">
        <v>323</v>
      </c>
      <c r="C152" t="s">
        <v>324</v>
      </c>
    </row>
    <row r="153" spans="1:3" x14ac:dyDescent="0.25">
      <c r="A153">
        <v>152</v>
      </c>
      <c r="B153" t="s">
        <v>325</v>
      </c>
      <c r="C153" t="s">
        <v>326</v>
      </c>
    </row>
    <row r="154" spans="1:3" x14ac:dyDescent="0.25">
      <c r="A154">
        <v>153</v>
      </c>
      <c r="B154" t="s">
        <v>327</v>
      </c>
      <c r="C154" t="s">
        <v>328</v>
      </c>
    </row>
    <row r="155" spans="1:3" x14ac:dyDescent="0.25">
      <c r="A155">
        <v>154</v>
      </c>
      <c r="B155" t="s">
        <v>329</v>
      </c>
      <c r="C155" t="s">
        <v>330</v>
      </c>
    </row>
    <row r="156" spans="1:3" x14ac:dyDescent="0.25">
      <c r="A156">
        <v>155</v>
      </c>
      <c r="B156" t="s">
        <v>331</v>
      </c>
      <c r="C156" t="s">
        <v>332</v>
      </c>
    </row>
    <row r="157" spans="1:3" x14ac:dyDescent="0.25">
      <c r="A157">
        <v>156</v>
      </c>
      <c r="B157" t="s">
        <v>333</v>
      </c>
      <c r="C157" t="s">
        <v>334</v>
      </c>
    </row>
    <row r="158" spans="1:3" x14ac:dyDescent="0.25">
      <c r="A158">
        <v>157</v>
      </c>
      <c r="B158" t="s">
        <v>335</v>
      </c>
      <c r="C158" t="s">
        <v>336</v>
      </c>
    </row>
    <row r="159" spans="1:3" x14ac:dyDescent="0.25">
      <c r="A159">
        <v>158</v>
      </c>
      <c r="B159" t="s">
        <v>337</v>
      </c>
      <c r="C159" t="s">
        <v>338</v>
      </c>
    </row>
    <row r="160" spans="1:3" x14ac:dyDescent="0.25">
      <c r="A160">
        <v>159</v>
      </c>
      <c r="B160" t="s">
        <v>339</v>
      </c>
      <c r="C160" t="s">
        <v>340</v>
      </c>
    </row>
    <row r="161" spans="1:3" x14ac:dyDescent="0.25">
      <c r="A161">
        <v>160</v>
      </c>
      <c r="B161" t="s">
        <v>341</v>
      </c>
      <c r="C161" t="s">
        <v>342</v>
      </c>
    </row>
    <row r="162" spans="1:3" x14ac:dyDescent="0.25">
      <c r="A162">
        <v>161</v>
      </c>
      <c r="B162" t="s">
        <v>343</v>
      </c>
      <c r="C162" t="s">
        <v>344</v>
      </c>
    </row>
    <row r="163" spans="1:3" x14ac:dyDescent="0.25">
      <c r="A163">
        <v>162</v>
      </c>
      <c r="B163" t="s">
        <v>345</v>
      </c>
      <c r="C163" t="s">
        <v>346</v>
      </c>
    </row>
    <row r="164" spans="1:3" x14ac:dyDescent="0.25">
      <c r="A164">
        <v>163</v>
      </c>
      <c r="B164" t="s">
        <v>347</v>
      </c>
      <c r="C164" t="s">
        <v>348</v>
      </c>
    </row>
    <row r="165" spans="1:3" x14ac:dyDescent="0.25">
      <c r="A165">
        <v>164</v>
      </c>
      <c r="B165" t="s">
        <v>349</v>
      </c>
      <c r="C165" t="s">
        <v>350</v>
      </c>
    </row>
    <row r="166" spans="1:3" x14ac:dyDescent="0.25">
      <c r="A166">
        <v>165</v>
      </c>
      <c r="B166" t="s">
        <v>351</v>
      </c>
      <c r="C166" t="s">
        <v>352</v>
      </c>
    </row>
    <row r="167" spans="1:3" x14ac:dyDescent="0.25">
      <c r="A167">
        <v>166</v>
      </c>
      <c r="B167" t="s">
        <v>353</v>
      </c>
      <c r="C167" t="s">
        <v>354</v>
      </c>
    </row>
    <row r="168" spans="1:3" x14ac:dyDescent="0.25">
      <c r="A168">
        <v>167</v>
      </c>
      <c r="B168" t="s">
        <v>355</v>
      </c>
      <c r="C168" t="s">
        <v>356</v>
      </c>
    </row>
    <row r="169" spans="1:3" x14ac:dyDescent="0.25">
      <c r="A169">
        <v>168</v>
      </c>
      <c r="B169" t="s">
        <v>357</v>
      </c>
      <c r="C169" t="s">
        <v>358</v>
      </c>
    </row>
    <row r="170" spans="1:3" x14ac:dyDescent="0.25">
      <c r="A170">
        <v>169</v>
      </c>
      <c r="B170" t="s">
        <v>359</v>
      </c>
      <c r="C170" t="s">
        <v>360</v>
      </c>
    </row>
    <row r="171" spans="1:3" x14ac:dyDescent="0.25">
      <c r="A171">
        <v>170</v>
      </c>
      <c r="B171" t="s">
        <v>361</v>
      </c>
      <c r="C171" t="s">
        <v>362</v>
      </c>
    </row>
    <row r="172" spans="1:3" x14ac:dyDescent="0.25">
      <c r="A172">
        <v>171</v>
      </c>
      <c r="B172" t="s">
        <v>363</v>
      </c>
      <c r="C172" t="s">
        <v>364</v>
      </c>
    </row>
    <row r="173" spans="1:3" x14ac:dyDescent="0.25">
      <c r="A173">
        <v>172</v>
      </c>
      <c r="B173" t="s">
        <v>365</v>
      </c>
      <c r="C173" t="s">
        <v>366</v>
      </c>
    </row>
    <row r="174" spans="1:3" x14ac:dyDescent="0.25">
      <c r="A174">
        <v>173</v>
      </c>
      <c r="B174" t="s">
        <v>367</v>
      </c>
      <c r="C174" t="s">
        <v>368</v>
      </c>
    </row>
    <row r="175" spans="1:3" x14ac:dyDescent="0.25">
      <c r="A175">
        <v>174</v>
      </c>
      <c r="B175" t="s">
        <v>369</v>
      </c>
      <c r="C175" t="s">
        <v>370</v>
      </c>
    </row>
    <row r="176" spans="1:3" x14ac:dyDescent="0.25">
      <c r="A176">
        <v>175</v>
      </c>
      <c r="B176" t="s">
        <v>371</v>
      </c>
      <c r="C176" t="s">
        <v>372</v>
      </c>
    </row>
    <row r="177" spans="1:3" x14ac:dyDescent="0.25">
      <c r="A177">
        <v>176</v>
      </c>
      <c r="B177" t="s">
        <v>373</v>
      </c>
      <c r="C177" t="s">
        <v>374</v>
      </c>
    </row>
    <row r="178" spans="1:3" x14ac:dyDescent="0.25">
      <c r="A178">
        <v>177</v>
      </c>
      <c r="B178" t="s">
        <v>375</v>
      </c>
      <c r="C178" t="s">
        <v>376</v>
      </c>
    </row>
    <row r="179" spans="1:3" x14ac:dyDescent="0.25">
      <c r="A179">
        <v>178</v>
      </c>
      <c r="B179" t="s">
        <v>377</v>
      </c>
      <c r="C179" t="s">
        <v>378</v>
      </c>
    </row>
    <row r="180" spans="1:3" x14ac:dyDescent="0.25">
      <c r="A180">
        <v>179</v>
      </c>
      <c r="B180" t="s">
        <v>379</v>
      </c>
      <c r="C180" t="s">
        <v>380</v>
      </c>
    </row>
    <row r="181" spans="1:3" x14ac:dyDescent="0.25">
      <c r="A181">
        <v>180</v>
      </c>
      <c r="B181" t="s">
        <v>381</v>
      </c>
      <c r="C181" t="s">
        <v>382</v>
      </c>
    </row>
    <row r="182" spans="1:3" x14ac:dyDescent="0.25">
      <c r="A182">
        <v>181</v>
      </c>
      <c r="B182" t="s">
        <v>383</v>
      </c>
      <c r="C182" t="s">
        <v>384</v>
      </c>
    </row>
    <row r="183" spans="1:3" x14ac:dyDescent="0.25">
      <c r="A183">
        <v>182</v>
      </c>
      <c r="B183" t="s">
        <v>385</v>
      </c>
      <c r="C183" t="s">
        <v>386</v>
      </c>
    </row>
    <row r="184" spans="1:3" x14ac:dyDescent="0.25">
      <c r="A184">
        <v>183</v>
      </c>
      <c r="B184" t="s">
        <v>387</v>
      </c>
      <c r="C184" t="s">
        <v>388</v>
      </c>
    </row>
    <row r="185" spans="1:3" x14ac:dyDescent="0.25">
      <c r="A185">
        <v>184</v>
      </c>
      <c r="B185" t="s">
        <v>389</v>
      </c>
      <c r="C185" t="s">
        <v>390</v>
      </c>
    </row>
    <row r="186" spans="1:3" x14ac:dyDescent="0.25">
      <c r="A186">
        <v>185</v>
      </c>
      <c r="B186" t="s">
        <v>391</v>
      </c>
      <c r="C186" t="s">
        <v>392</v>
      </c>
    </row>
    <row r="187" spans="1:3" x14ac:dyDescent="0.25">
      <c r="A187">
        <v>186</v>
      </c>
      <c r="B187" t="s">
        <v>393</v>
      </c>
      <c r="C187" t="s">
        <v>394</v>
      </c>
    </row>
    <row r="188" spans="1:3" x14ac:dyDescent="0.25">
      <c r="A188">
        <v>187</v>
      </c>
      <c r="B188" t="s">
        <v>395</v>
      </c>
      <c r="C188" t="s">
        <v>396</v>
      </c>
    </row>
    <row r="189" spans="1:3" x14ac:dyDescent="0.25">
      <c r="A189">
        <v>188</v>
      </c>
      <c r="B189" t="s">
        <v>397</v>
      </c>
      <c r="C189" t="s">
        <v>398</v>
      </c>
    </row>
    <row r="190" spans="1:3" x14ac:dyDescent="0.25">
      <c r="A190">
        <v>189</v>
      </c>
      <c r="B190" t="s">
        <v>399</v>
      </c>
      <c r="C190" t="s">
        <v>400</v>
      </c>
    </row>
    <row r="191" spans="1:3" x14ac:dyDescent="0.25">
      <c r="A191">
        <v>190</v>
      </c>
      <c r="B191" t="s">
        <v>401</v>
      </c>
      <c r="C191" t="s">
        <v>402</v>
      </c>
    </row>
    <row r="192" spans="1:3" x14ac:dyDescent="0.25">
      <c r="A192">
        <v>191</v>
      </c>
      <c r="B192" t="s">
        <v>403</v>
      </c>
      <c r="C192" t="s">
        <v>404</v>
      </c>
    </row>
    <row r="193" spans="1:3" x14ac:dyDescent="0.25">
      <c r="A193">
        <v>192</v>
      </c>
      <c r="B193" t="s">
        <v>405</v>
      </c>
      <c r="C193" t="s">
        <v>406</v>
      </c>
    </row>
    <row r="194" spans="1:3" x14ac:dyDescent="0.25">
      <c r="A194">
        <v>193</v>
      </c>
      <c r="B194" t="s">
        <v>407</v>
      </c>
      <c r="C194" t="s">
        <v>408</v>
      </c>
    </row>
    <row r="195" spans="1:3" x14ac:dyDescent="0.25">
      <c r="A195">
        <v>194</v>
      </c>
      <c r="B195" t="s">
        <v>409</v>
      </c>
      <c r="C195" t="s">
        <v>410</v>
      </c>
    </row>
    <row r="196" spans="1:3" x14ac:dyDescent="0.25">
      <c r="A196">
        <v>195</v>
      </c>
      <c r="B196" t="s">
        <v>411</v>
      </c>
      <c r="C196" t="s">
        <v>412</v>
      </c>
    </row>
    <row r="197" spans="1:3" x14ac:dyDescent="0.25">
      <c r="A197">
        <v>196</v>
      </c>
      <c r="B197" t="s">
        <v>413</v>
      </c>
      <c r="C197" t="s">
        <v>414</v>
      </c>
    </row>
    <row r="198" spans="1:3" x14ac:dyDescent="0.25">
      <c r="A198">
        <v>197</v>
      </c>
      <c r="B198" t="s">
        <v>415</v>
      </c>
      <c r="C198" t="s">
        <v>416</v>
      </c>
    </row>
    <row r="199" spans="1:3" x14ac:dyDescent="0.25">
      <c r="A199">
        <v>198</v>
      </c>
      <c r="B199" t="s">
        <v>417</v>
      </c>
      <c r="C199" t="s">
        <v>418</v>
      </c>
    </row>
    <row r="200" spans="1:3" x14ac:dyDescent="0.25">
      <c r="A200">
        <v>199</v>
      </c>
      <c r="B200" t="s">
        <v>419</v>
      </c>
      <c r="C200" t="s">
        <v>420</v>
      </c>
    </row>
    <row r="201" spans="1:3" x14ac:dyDescent="0.25">
      <c r="A201">
        <v>200</v>
      </c>
      <c r="B201" t="s">
        <v>421</v>
      </c>
      <c r="C201" t="s">
        <v>422</v>
      </c>
    </row>
    <row r="202" spans="1:3" x14ac:dyDescent="0.25">
      <c r="A202">
        <v>201</v>
      </c>
      <c r="B202" t="s">
        <v>423</v>
      </c>
      <c r="C202" t="s">
        <v>424</v>
      </c>
    </row>
    <row r="203" spans="1:3" x14ac:dyDescent="0.25">
      <c r="A203">
        <v>202</v>
      </c>
      <c r="B203" t="s">
        <v>425</v>
      </c>
      <c r="C203" t="s">
        <v>426</v>
      </c>
    </row>
    <row r="204" spans="1:3" x14ac:dyDescent="0.25">
      <c r="A204">
        <v>203</v>
      </c>
      <c r="B204" t="s">
        <v>427</v>
      </c>
      <c r="C204" t="s">
        <v>428</v>
      </c>
    </row>
    <row r="205" spans="1:3" x14ac:dyDescent="0.25">
      <c r="A205">
        <v>204</v>
      </c>
      <c r="B205" t="s">
        <v>429</v>
      </c>
      <c r="C205" t="s">
        <v>430</v>
      </c>
    </row>
    <row r="206" spans="1:3" x14ac:dyDescent="0.25">
      <c r="A206">
        <v>205</v>
      </c>
      <c r="B206" t="s">
        <v>431</v>
      </c>
      <c r="C206" t="s">
        <v>432</v>
      </c>
    </row>
    <row r="207" spans="1:3" x14ac:dyDescent="0.25">
      <c r="A207">
        <v>206</v>
      </c>
      <c r="B207" t="s">
        <v>433</v>
      </c>
      <c r="C207" t="s">
        <v>434</v>
      </c>
    </row>
    <row r="208" spans="1:3" x14ac:dyDescent="0.25">
      <c r="A208">
        <v>207</v>
      </c>
      <c r="B208" t="s">
        <v>435</v>
      </c>
      <c r="C208" t="s">
        <v>436</v>
      </c>
    </row>
    <row r="209" spans="1:3" x14ac:dyDescent="0.25">
      <c r="A209">
        <v>208</v>
      </c>
      <c r="B209" t="s">
        <v>437</v>
      </c>
      <c r="C209" t="s">
        <v>438</v>
      </c>
    </row>
    <row r="210" spans="1:3" x14ac:dyDescent="0.25">
      <c r="A210">
        <v>209</v>
      </c>
      <c r="B210" t="s">
        <v>439</v>
      </c>
      <c r="C210" t="s">
        <v>440</v>
      </c>
    </row>
    <row r="211" spans="1:3" x14ac:dyDescent="0.25">
      <c r="A211">
        <v>210</v>
      </c>
      <c r="B211" t="s">
        <v>441</v>
      </c>
      <c r="C211" t="s">
        <v>442</v>
      </c>
    </row>
    <row r="212" spans="1:3" x14ac:dyDescent="0.25">
      <c r="A212">
        <v>211</v>
      </c>
      <c r="B212" t="s">
        <v>443</v>
      </c>
      <c r="C212" t="s">
        <v>444</v>
      </c>
    </row>
    <row r="213" spans="1:3" x14ac:dyDescent="0.25">
      <c r="A213">
        <v>212</v>
      </c>
      <c r="B213" t="s">
        <v>445</v>
      </c>
      <c r="C213" t="s">
        <v>446</v>
      </c>
    </row>
    <row r="214" spans="1:3" x14ac:dyDescent="0.25">
      <c r="A214">
        <v>213</v>
      </c>
      <c r="B214" t="s">
        <v>447</v>
      </c>
      <c r="C214" t="s">
        <v>448</v>
      </c>
    </row>
    <row r="215" spans="1:3" x14ac:dyDescent="0.25">
      <c r="A215">
        <v>214</v>
      </c>
      <c r="B215" t="s">
        <v>449</v>
      </c>
      <c r="C215" t="s">
        <v>450</v>
      </c>
    </row>
    <row r="216" spans="1:3" x14ac:dyDescent="0.25">
      <c r="A216">
        <v>215</v>
      </c>
      <c r="B216" t="s">
        <v>451</v>
      </c>
      <c r="C216" t="s">
        <v>452</v>
      </c>
    </row>
    <row r="217" spans="1:3" x14ac:dyDescent="0.25">
      <c r="A217">
        <v>216</v>
      </c>
      <c r="B217" t="s">
        <v>453</v>
      </c>
      <c r="C217" t="s">
        <v>454</v>
      </c>
    </row>
    <row r="218" spans="1:3" x14ac:dyDescent="0.25">
      <c r="A218">
        <v>217</v>
      </c>
      <c r="B218" t="s">
        <v>455</v>
      </c>
      <c r="C218" t="s">
        <v>456</v>
      </c>
    </row>
    <row r="219" spans="1:3" x14ac:dyDescent="0.25">
      <c r="A219">
        <v>218</v>
      </c>
      <c r="B219" t="s">
        <v>457</v>
      </c>
      <c r="C219" t="s">
        <v>458</v>
      </c>
    </row>
    <row r="220" spans="1:3" x14ac:dyDescent="0.25">
      <c r="A220">
        <v>219</v>
      </c>
      <c r="B220" t="s">
        <v>459</v>
      </c>
      <c r="C220" t="s">
        <v>460</v>
      </c>
    </row>
    <row r="221" spans="1:3" x14ac:dyDescent="0.25">
      <c r="A221">
        <v>220</v>
      </c>
      <c r="B221" t="s">
        <v>461</v>
      </c>
      <c r="C221" t="s">
        <v>462</v>
      </c>
    </row>
    <row r="222" spans="1:3" x14ac:dyDescent="0.25">
      <c r="A222">
        <v>221</v>
      </c>
      <c r="B222" t="s">
        <v>463</v>
      </c>
      <c r="C222" t="s">
        <v>464</v>
      </c>
    </row>
    <row r="223" spans="1:3" x14ac:dyDescent="0.25">
      <c r="A223">
        <v>222</v>
      </c>
      <c r="B223" t="s">
        <v>465</v>
      </c>
      <c r="C223" t="s">
        <v>466</v>
      </c>
    </row>
    <row r="224" spans="1:3" x14ac:dyDescent="0.25">
      <c r="A224">
        <v>223</v>
      </c>
      <c r="B224" t="s">
        <v>467</v>
      </c>
      <c r="C224" t="s">
        <v>468</v>
      </c>
    </row>
    <row r="225" spans="1:3" x14ac:dyDescent="0.25">
      <c r="A225">
        <v>224</v>
      </c>
      <c r="B225" t="s">
        <v>469</v>
      </c>
      <c r="C225" t="s">
        <v>470</v>
      </c>
    </row>
    <row r="226" spans="1:3" x14ac:dyDescent="0.25">
      <c r="A226">
        <v>225</v>
      </c>
      <c r="B226" t="s">
        <v>471</v>
      </c>
      <c r="C226" t="s">
        <v>472</v>
      </c>
    </row>
    <row r="227" spans="1:3" x14ac:dyDescent="0.25">
      <c r="A227">
        <v>226</v>
      </c>
      <c r="B227" t="s">
        <v>473</v>
      </c>
      <c r="C227" t="s">
        <v>474</v>
      </c>
    </row>
    <row r="228" spans="1:3" x14ac:dyDescent="0.25">
      <c r="A228">
        <v>227</v>
      </c>
      <c r="B228" t="s">
        <v>475</v>
      </c>
      <c r="C228" t="s">
        <v>476</v>
      </c>
    </row>
    <row r="229" spans="1:3" x14ac:dyDescent="0.25">
      <c r="A229">
        <v>228</v>
      </c>
      <c r="B229" t="s">
        <v>477</v>
      </c>
      <c r="C229" t="s">
        <v>478</v>
      </c>
    </row>
    <row r="230" spans="1:3" x14ac:dyDescent="0.25">
      <c r="A230">
        <v>229</v>
      </c>
      <c r="B230" t="s">
        <v>479</v>
      </c>
      <c r="C230" t="s">
        <v>480</v>
      </c>
    </row>
    <row r="231" spans="1:3" x14ac:dyDescent="0.25">
      <c r="A231">
        <v>230</v>
      </c>
      <c r="B231" t="s">
        <v>481</v>
      </c>
      <c r="C231" t="s">
        <v>482</v>
      </c>
    </row>
    <row r="232" spans="1:3" x14ac:dyDescent="0.25">
      <c r="A232">
        <v>231</v>
      </c>
      <c r="B232" t="s">
        <v>483</v>
      </c>
      <c r="C232" t="s">
        <v>484</v>
      </c>
    </row>
    <row r="233" spans="1:3" x14ac:dyDescent="0.25">
      <c r="A233">
        <v>232</v>
      </c>
      <c r="B233" t="s">
        <v>485</v>
      </c>
      <c r="C233" t="s">
        <v>486</v>
      </c>
    </row>
    <row r="234" spans="1:3" x14ac:dyDescent="0.25">
      <c r="A234">
        <v>233</v>
      </c>
      <c r="B234" t="s">
        <v>487</v>
      </c>
      <c r="C234" t="s">
        <v>488</v>
      </c>
    </row>
    <row r="235" spans="1:3" x14ac:dyDescent="0.25">
      <c r="A235">
        <v>234</v>
      </c>
      <c r="B235" t="s">
        <v>489</v>
      </c>
      <c r="C235" t="s">
        <v>490</v>
      </c>
    </row>
    <row r="236" spans="1:3" x14ac:dyDescent="0.25">
      <c r="A236">
        <v>235</v>
      </c>
      <c r="B236" t="s">
        <v>491</v>
      </c>
      <c r="C236" t="s">
        <v>492</v>
      </c>
    </row>
    <row r="237" spans="1:3" x14ac:dyDescent="0.25">
      <c r="A237">
        <v>236</v>
      </c>
      <c r="B237" t="s">
        <v>493</v>
      </c>
      <c r="C237" t="s">
        <v>494</v>
      </c>
    </row>
    <row r="238" spans="1:3" x14ac:dyDescent="0.25">
      <c r="A238">
        <v>237</v>
      </c>
      <c r="B238" t="s">
        <v>495</v>
      </c>
      <c r="C238" t="s">
        <v>496</v>
      </c>
    </row>
    <row r="239" spans="1:3" x14ac:dyDescent="0.25">
      <c r="A239">
        <v>238</v>
      </c>
      <c r="B239" t="s">
        <v>497</v>
      </c>
      <c r="C239" t="s">
        <v>498</v>
      </c>
    </row>
    <row r="240" spans="1:3" x14ac:dyDescent="0.25">
      <c r="A240">
        <v>239</v>
      </c>
      <c r="B240" t="s">
        <v>499</v>
      </c>
      <c r="C240" t="s">
        <v>500</v>
      </c>
    </row>
    <row r="241" spans="1:3" x14ac:dyDescent="0.25">
      <c r="A241">
        <v>240</v>
      </c>
      <c r="B241" t="s">
        <v>501</v>
      </c>
      <c r="C241" t="s">
        <v>502</v>
      </c>
    </row>
    <row r="242" spans="1:3" x14ac:dyDescent="0.25">
      <c r="A242">
        <v>241</v>
      </c>
      <c r="B242" t="s">
        <v>503</v>
      </c>
      <c r="C242" t="s">
        <v>504</v>
      </c>
    </row>
    <row r="243" spans="1:3" x14ac:dyDescent="0.25">
      <c r="A243">
        <v>242</v>
      </c>
      <c r="B243" t="s">
        <v>505</v>
      </c>
      <c r="C243" t="s">
        <v>506</v>
      </c>
    </row>
    <row r="244" spans="1:3" x14ac:dyDescent="0.25">
      <c r="A244">
        <v>243</v>
      </c>
      <c r="B244" t="s">
        <v>507</v>
      </c>
      <c r="C244" t="s">
        <v>508</v>
      </c>
    </row>
    <row r="245" spans="1:3" x14ac:dyDescent="0.25">
      <c r="A245">
        <v>244</v>
      </c>
      <c r="B245" t="s">
        <v>509</v>
      </c>
      <c r="C245" t="s">
        <v>510</v>
      </c>
    </row>
    <row r="246" spans="1:3" x14ac:dyDescent="0.25">
      <c r="A246">
        <v>245</v>
      </c>
      <c r="B246" t="s">
        <v>511</v>
      </c>
      <c r="C246" t="s">
        <v>512</v>
      </c>
    </row>
    <row r="247" spans="1:3" x14ac:dyDescent="0.25">
      <c r="A247">
        <v>246</v>
      </c>
      <c r="B247" t="s">
        <v>513</v>
      </c>
      <c r="C247" t="s">
        <v>514</v>
      </c>
    </row>
    <row r="248" spans="1:3" x14ac:dyDescent="0.25">
      <c r="A248">
        <v>247</v>
      </c>
      <c r="B248" t="s">
        <v>515</v>
      </c>
      <c r="C248" t="s">
        <v>516</v>
      </c>
    </row>
    <row r="249" spans="1:3" x14ac:dyDescent="0.25">
      <c r="A249">
        <v>248</v>
      </c>
      <c r="B249" t="s">
        <v>517</v>
      </c>
      <c r="C249" t="s">
        <v>518</v>
      </c>
    </row>
    <row r="250" spans="1:3" x14ac:dyDescent="0.25">
      <c r="A250">
        <v>249</v>
      </c>
      <c r="B250" t="s">
        <v>519</v>
      </c>
      <c r="C250" t="s">
        <v>520</v>
      </c>
    </row>
    <row r="251" spans="1:3" x14ac:dyDescent="0.25">
      <c r="A251">
        <v>250</v>
      </c>
      <c r="B251" t="s">
        <v>521</v>
      </c>
      <c r="C251" t="s">
        <v>522</v>
      </c>
    </row>
    <row r="252" spans="1:3" x14ac:dyDescent="0.25">
      <c r="A252">
        <v>251</v>
      </c>
      <c r="B252" t="s">
        <v>523</v>
      </c>
      <c r="C252" t="s">
        <v>524</v>
      </c>
    </row>
    <row r="253" spans="1:3" x14ac:dyDescent="0.25">
      <c r="A253">
        <v>252</v>
      </c>
      <c r="B253" t="s">
        <v>525</v>
      </c>
      <c r="C253" t="s">
        <v>526</v>
      </c>
    </row>
    <row r="254" spans="1:3" x14ac:dyDescent="0.25">
      <c r="A254">
        <v>253</v>
      </c>
      <c r="B254" t="s">
        <v>527</v>
      </c>
      <c r="C254" t="s">
        <v>528</v>
      </c>
    </row>
    <row r="255" spans="1:3" x14ac:dyDescent="0.25">
      <c r="A255">
        <v>254</v>
      </c>
      <c r="B255" t="s">
        <v>529</v>
      </c>
      <c r="C255" t="s">
        <v>530</v>
      </c>
    </row>
    <row r="256" spans="1:3" x14ac:dyDescent="0.25">
      <c r="A256">
        <v>255</v>
      </c>
      <c r="B256" t="s">
        <v>531</v>
      </c>
      <c r="C256" t="s">
        <v>532</v>
      </c>
    </row>
    <row r="257" spans="1:3" x14ac:dyDescent="0.25">
      <c r="A257">
        <v>256</v>
      </c>
      <c r="B257" t="s">
        <v>533</v>
      </c>
      <c r="C257" t="s">
        <v>534</v>
      </c>
    </row>
    <row r="258" spans="1:3" x14ac:dyDescent="0.25">
      <c r="A258">
        <v>257</v>
      </c>
      <c r="B258" t="s">
        <v>535</v>
      </c>
      <c r="C258" t="s">
        <v>536</v>
      </c>
    </row>
    <row r="259" spans="1:3" x14ac:dyDescent="0.25">
      <c r="A259">
        <v>258</v>
      </c>
      <c r="B259" t="s">
        <v>537</v>
      </c>
      <c r="C259" t="s">
        <v>538</v>
      </c>
    </row>
    <row r="260" spans="1:3" x14ac:dyDescent="0.25">
      <c r="A260">
        <v>259</v>
      </c>
      <c r="B260" t="s">
        <v>539</v>
      </c>
      <c r="C260" t="s">
        <v>540</v>
      </c>
    </row>
    <row r="261" spans="1:3" x14ac:dyDescent="0.25">
      <c r="A261">
        <v>260</v>
      </c>
      <c r="B261" t="s">
        <v>541</v>
      </c>
      <c r="C261" t="s">
        <v>542</v>
      </c>
    </row>
    <row r="262" spans="1:3" x14ac:dyDescent="0.25">
      <c r="A262">
        <v>261</v>
      </c>
      <c r="B262" t="s">
        <v>543</v>
      </c>
      <c r="C262" t="s">
        <v>544</v>
      </c>
    </row>
    <row r="263" spans="1:3" x14ac:dyDescent="0.25">
      <c r="A263">
        <v>262</v>
      </c>
      <c r="B263" t="s">
        <v>545</v>
      </c>
      <c r="C263" t="s">
        <v>546</v>
      </c>
    </row>
    <row r="264" spans="1:3" x14ac:dyDescent="0.25">
      <c r="A264">
        <v>263</v>
      </c>
      <c r="B264" t="s">
        <v>547</v>
      </c>
      <c r="C264" t="s">
        <v>548</v>
      </c>
    </row>
    <row r="265" spans="1:3" x14ac:dyDescent="0.25">
      <c r="A265">
        <v>264</v>
      </c>
      <c r="B265" t="s">
        <v>549</v>
      </c>
      <c r="C265" t="s">
        <v>550</v>
      </c>
    </row>
    <row r="266" spans="1:3" x14ac:dyDescent="0.25">
      <c r="A266">
        <v>265</v>
      </c>
      <c r="B266" t="s">
        <v>551</v>
      </c>
      <c r="C266" t="s">
        <v>552</v>
      </c>
    </row>
    <row r="267" spans="1:3" x14ac:dyDescent="0.25">
      <c r="A267">
        <v>266</v>
      </c>
      <c r="B267" t="s">
        <v>553</v>
      </c>
      <c r="C267" t="s">
        <v>554</v>
      </c>
    </row>
    <row r="268" spans="1:3" x14ac:dyDescent="0.25">
      <c r="A268">
        <v>267</v>
      </c>
      <c r="B268" t="s">
        <v>555</v>
      </c>
      <c r="C268" t="s">
        <v>556</v>
      </c>
    </row>
    <row r="269" spans="1:3" x14ac:dyDescent="0.25">
      <c r="A269">
        <v>268</v>
      </c>
      <c r="B269" t="s">
        <v>557</v>
      </c>
      <c r="C269" t="s">
        <v>558</v>
      </c>
    </row>
    <row r="270" spans="1:3" x14ac:dyDescent="0.25">
      <c r="A270">
        <v>269</v>
      </c>
      <c r="B270" t="s">
        <v>559</v>
      </c>
      <c r="C270" t="s">
        <v>560</v>
      </c>
    </row>
    <row r="271" spans="1:3" x14ac:dyDescent="0.25">
      <c r="A271">
        <v>270</v>
      </c>
      <c r="B271" t="s">
        <v>561</v>
      </c>
      <c r="C271" t="s">
        <v>562</v>
      </c>
    </row>
    <row r="272" spans="1:3" x14ac:dyDescent="0.25">
      <c r="A272">
        <v>271</v>
      </c>
      <c r="B272" t="s">
        <v>563</v>
      </c>
      <c r="C272" t="s">
        <v>564</v>
      </c>
    </row>
    <row r="273" spans="1:3" x14ac:dyDescent="0.25">
      <c r="A273">
        <v>272</v>
      </c>
      <c r="B273" t="s">
        <v>565</v>
      </c>
      <c r="C273" t="s">
        <v>566</v>
      </c>
    </row>
    <row r="274" spans="1:3" x14ac:dyDescent="0.25">
      <c r="A274">
        <v>273</v>
      </c>
      <c r="B274" t="s">
        <v>567</v>
      </c>
      <c r="C274" t="s">
        <v>568</v>
      </c>
    </row>
    <row r="275" spans="1:3" x14ac:dyDescent="0.25">
      <c r="A275">
        <v>274</v>
      </c>
      <c r="B275" t="s">
        <v>569</v>
      </c>
      <c r="C275" t="s">
        <v>570</v>
      </c>
    </row>
    <row r="276" spans="1:3" x14ac:dyDescent="0.25">
      <c r="A276">
        <v>275</v>
      </c>
      <c r="B276" t="s">
        <v>571</v>
      </c>
      <c r="C276" t="s">
        <v>572</v>
      </c>
    </row>
    <row r="277" spans="1:3" x14ac:dyDescent="0.25">
      <c r="A277">
        <v>276</v>
      </c>
      <c r="B277" t="s">
        <v>573</v>
      </c>
      <c r="C277" t="s">
        <v>574</v>
      </c>
    </row>
    <row r="278" spans="1:3" x14ac:dyDescent="0.25">
      <c r="A278">
        <v>277</v>
      </c>
      <c r="B278" t="s">
        <v>575</v>
      </c>
      <c r="C278" t="s">
        <v>576</v>
      </c>
    </row>
    <row r="279" spans="1:3" x14ac:dyDescent="0.25">
      <c r="A279">
        <v>278</v>
      </c>
      <c r="B279" t="s">
        <v>577</v>
      </c>
      <c r="C279" t="s">
        <v>578</v>
      </c>
    </row>
    <row r="280" spans="1:3" x14ac:dyDescent="0.25">
      <c r="A280">
        <v>279</v>
      </c>
      <c r="B280" t="s">
        <v>579</v>
      </c>
      <c r="C280" t="s">
        <v>580</v>
      </c>
    </row>
    <row r="281" spans="1:3" x14ac:dyDescent="0.25">
      <c r="A281">
        <v>280</v>
      </c>
      <c r="B281" t="s">
        <v>581</v>
      </c>
      <c r="C281" t="s">
        <v>582</v>
      </c>
    </row>
    <row r="282" spans="1:3" x14ac:dyDescent="0.25">
      <c r="A282">
        <v>281</v>
      </c>
      <c r="B282" t="s">
        <v>583</v>
      </c>
      <c r="C282" t="s">
        <v>584</v>
      </c>
    </row>
    <row r="283" spans="1:3" x14ac:dyDescent="0.25">
      <c r="A283">
        <v>282</v>
      </c>
      <c r="B283" t="s">
        <v>585</v>
      </c>
      <c r="C283" t="s">
        <v>586</v>
      </c>
    </row>
    <row r="284" spans="1:3" x14ac:dyDescent="0.25">
      <c r="A284">
        <v>283</v>
      </c>
      <c r="B284" t="s">
        <v>587</v>
      </c>
      <c r="C284" t="s">
        <v>588</v>
      </c>
    </row>
    <row r="285" spans="1:3" x14ac:dyDescent="0.25">
      <c r="A285">
        <v>284</v>
      </c>
      <c r="B285" t="s">
        <v>589</v>
      </c>
      <c r="C285" t="s">
        <v>590</v>
      </c>
    </row>
    <row r="286" spans="1:3" x14ac:dyDescent="0.25">
      <c r="A286">
        <v>285</v>
      </c>
      <c r="B286" t="s">
        <v>591</v>
      </c>
      <c r="C286" t="s">
        <v>592</v>
      </c>
    </row>
    <row r="287" spans="1:3" x14ac:dyDescent="0.25">
      <c r="A287">
        <v>286</v>
      </c>
      <c r="B287" t="s">
        <v>593</v>
      </c>
      <c r="C287" t="s">
        <v>594</v>
      </c>
    </row>
    <row r="288" spans="1:3" x14ac:dyDescent="0.25">
      <c r="A288">
        <v>287</v>
      </c>
      <c r="B288" t="s">
        <v>595</v>
      </c>
      <c r="C288" t="s">
        <v>596</v>
      </c>
    </row>
    <row r="289" spans="1:3" x14ac:dyDescent="0.25">
      <c r="A289">
        <v>288</v>
      </c>
      <c r="B289" t="s">
        <v>597</v>
      </c>
      <c r="C289" t="s">
        <v>598</v>
      </c>
    </row>
    <row r="290" spans="1:3" x14ac:dyDescent="0.25">
      <c r="A290">
        <v>289</v>
      </c>
      <c r="B290" t="s">
        <v>599</v>
      </c>
      <c r="C290" t="s">
        <v>600</v>
      </c>
    </row>
    <row r="291" spans="1:3" x14ac:dyDescent="0.25">
      <c r="A291">
        <v>290</v>
      </c>
      <c r="B291" t="s">
        <v>601</v>
      </c>
      <c r="C291" t="s">
        <v>602</v>
      </c>
    </row>
    <row r="292" spans="1:3" x14ac:dyDescent="0.25">
      <c r="A292">
        <v>291</v>
      </c>
      <c r="B292" t="s">
        <v>603</v>
      </c>
      <c r="C292" t="s">
        <v>604</v>
      </c>
    </row>
    <row r="293" spans="1:3" x14ac:dyDescent="0.25">
      <c r="A293">
        <v>292</v>
      </c>
      <c r="B293" t="s">
        <v>605</v>
      </c>
      <c r="C293" t="s">
        <v>606</v>
      </c>
    </row>
    <row r="294" spans="1:3" x14ac:dyDescent="0.25">
      <c r="A294">
        <v>293</v>
      </c>
      <c r="B294" t="s">
        <v>607</v>
      </c>
      <c r="C294" t="s">
        <v>608</v>
      </c>
    </row>
    <row r="295" spans="1:3" x14ac:dyDescent="0.25">
      <c r="A295">
        <v>294</v>
      </c>
      <c r="B295" t="s">
        <v>609</v>
      </c>
      <c r="C295" t="s">
        <v>610</v>
      </c>
    </row>
    <row r="296" spans="1:3" x14ac:dyDescent="0.25">
      <c r="A296">
        <v>295</v>
      </c>
      <c r="B296" t="s">
        <v>611</v>
      </c>
      <c r="C296" t="s">
        <v>612</v>
      </c>
    </row>
    <row r="297" spans="1:3" x14ac:dyDescent="0.25">
      <c r="A297">
        <v>296</v>
      </c>
      <c r="B297" t="s">
        <v>613</v>
      </c>
      <c r="C297" t="s">
        <v>614</v>
      </c>
    </row>
    <row r="298" spans="1:3" x14ac:dyDescent="0.25">
      <c r="A298">
        <v>297</v>
      </c>
      <c r="B298" t="s">
        <v>615</v>
      </c>
      <c r="C298" t="s">
        <v>616</v>
      </c>
    </row>
    <row r="299" spans="1:3" x14ac:dyDescent="0.25">
      <c r="A299">
        <v>298</v>
      </c>
      <c r="B299" t="s">
        <v>617</v>
      </c>
      <c r="C299" t="s">
        <v>618</v>
      </c>
    </row>
    <row r="300" spans="1:3" x14ac:dyDescent="0.25">
      <c r="A300">
        <v>299</v>
      </c>
      <c r="B300" t="s">
        <v>619</v>
      </c>
      <c r="C300" t="s">
        <v>620</v>
      </c>
    </row>
    <row r="301" spans="1:3" x14ac:dyDescent="0.25">
      <c r="A301">
        <v>300</v>
      </c>
      <c r="B301" t="s">
        <v>621</v>
      </c>
      <c r="C301" t="s">
        <v>622</v>
      </c>
    </row>
    <row r="302" spans="1:3" x14ac:dyDescent="0.25">
      <c r="A302">
        <v>301</v>
      </c>
      <c r="B302" t="s">
        <v>623</v>
      </c>
      <c r="C302" t="s">
        <v>624</v>
      </c>
    </row>
    <row r="303" spans="1:3" x14ac:dyDescent="0.25">
      <c r="A303">
        <v>302</v>
      </c>
      <c r="B303" t="s">
        <v>625</v>
      </c>
      <c r="C303" t="s">
        <v>626</v>
      </c>
    </row>
    <row r="304" spans="1:3" x14ac:dyDescent="0.25">
      <c r="A304">
        <v>303</v>
      </c>
      <c r="B304" t="s">
        <v>627</v>
      </c>
      <c r="C304" t="s">
        <v>628</v>
      </c>
    </row>
    <row r="305" spans="1:3" x14ac:dyDescent="0.25">
      <c r="A305">
        <v>304</v>
      </c>
      <c r="B305" t="s">
        <v>629</v>
      </c>
      <c r="C305" t="s">
        <v>630</v>
      </c>
    </row>
    <row r="306" spans="1:3" x14ac:dyDescent="0.25">
      <c r="A306">
        <v>305</v>
      </c>
      <c r="B306" t="s">
        <v>631</v>
      </c>
      <c r="C306" t="s">
        <v>632</v>
      </c>
    </row>
    <row r="307" spans="1:3" x14ac:dyDescent="0.25">
      <c r="A307">
        <v>306</v>
      </c>
      <c r="B307" t="s">
        <v>633</v>
      </c>
      <c r="C307" t="s">
        <v>634</v>
      </c>
    </row>
    <row r="308" spans="1:3" x14ac:dyDescent="0.25">
      <c r="A308">
        <v>307</v>
      </c>
      <c r="B308" t="s">
        <v>635</v>
      </c>
      <c r="C308" t="s">
        <v>636</v>
      </c>
    </row>
    <row r="309" spans="1:3" x14ac:dyDescent="0.25">
      <c r="A309">
        <v>308</v>
      </c>
      <c r="B309" t="s">
        <v>637</v>
      </c>
      <c r="C309" t="s">
        <v>638</v>
      </c>
    </row>
    <row r="310" spans="1:3" x14ac:dyDescent="0.25">
      <c r="A310">
        <v>309</v>
      </c>
      <c r="B310" t="s">
        <v>639</v>
      </c>
      <c r="C310" t="s">
        <v>640</v>
      </c>
    </row>
    <row r="311" spans="1:3" x14ac:dyDescent="0.25">
      <c r="A311">
        <v>310</v>
      </c>
      <c r="B311" t="s">
        <v>641</v>
      </c>
      <c r="C311" t="s">
        <v>642</v>
      </c>
    </row>
    <row r="312" spans="1:3" x14ac:dyDescent="0.25">
      <c r="A312">
        <v>311</v>
      </c>
      <c r="B312" t="s">
        <v>643</v>
      </c>
      <c r="C312" t="s">
        <v>644</v>
      </c>
    </row>
    <row r="313" spans="1:3" x14ac:dyDescent="0.25">
      <c r="A313">
        <v>312</v>
      </c>
      <c r="B313" t="s">
        <v>645</v>
      </c>
      <c r="C313" t="s">
        <v>646</v>
      </c>
    </row>
    <row r="314" spans="1:3" x14ac:dyDescent="0.25">
      <c r="A314">
        <v>313</v>
      </c>
      <c r="B314" t="s">
        <v>647</v>
      </c>
      <c r="C314" t="s">
        <v>648</v>
      </c>
    </row>
    <row r="315" spans="1:3" x14ac:dyDescent="0.25">
      <c r="A315">
        <v>314</v>
      </c>
      <c r="B315" t="s">
        <v>649</v>
      </c>
      <c r="C315" t="s">
        <v>650</v>
      </c>
    </row>
    <row r="316" spans="1:3" x14ac:dyDescent="0.25">
      <c r="A316">
        <v>315</v>
      </c>
      <c r="B316" t="s">
        <v>651</v>
      </c>
      <c r="C316" t="s">
        <v>652</v>
      </c>
    </row>
    <row r="317" spans="1:3" x14ac:dyDescent="0.25">
      <c r="A317">
        <v>316</v>
      </c>
      <c r="B317" t="s">
        <v>653</v>
      </c>
      <c r="C317" t="s">
        <v>654</v>
      </c>
    </row>
    <row r="318" spans="1:3" x14ac:dyDescent="0.25">
      <c r="A318">
        <v>317</v>
      </c>
      <c r="B318" t="s">
        <v>655</v>
      </c>
      <c r="C318" t="s">
        <v>656</v>
      </c>
    </row>
    <row r="319" spans="1:3" x14ac:dyDescent="0.25">
      <c r="A319">
        <v>318</v>
      </c>
      <c r="B319" t="s">
        <v>657</v>
      </c>
      <c r="C319" t="s">
        <v>658</v>
      </c>
    </row>
    <row r="320" spans="1:3" x14ac:dyDescent="0.25">
      <c r="A320">
        <v>319</v>
      </c>
      <c r="B320" t="s">
        <v>659</v>
      </c>
      <c r="C320" t="s">
        <v>660</v>
      </c>
    </row>
    <row r="321" spans="1:3" x14ac:dyDescent="0.25">
      <c r="A321">
        <v>320</v>
      </c>
      <c r="B321" t="s">
        <v>661</v>
      </c>
      <c r="C321" t="s">
        <v>662</v>
      </c>
    </row>
    <row r="322" spans="1:3" x14ac:dyDescent="0.25">
      <c r="A322">
        <v>321</v>
      </c>
      <c r="B322" t="s">
        <v>663</v>
      </c>
      <c r="C322" t="s">
        <v>664</v>
      </c>
    </row>
    <row r="323" spans="1:3" x14ac:dyDescent="0.25">
      <c r="A323">
        <v>322</v>
      </c>
      <c r="B323" t="s">
        <v>665</v>
      </c>
      <c r="C323" t="s">
        <v>666</v>
      </c>
    </row>
    <row r="324" spans="1:3" x14ac:dyDescent="0.25">
      <c r="A324">
        <v>323</v>
      </c>
      <c r="B324" t="s">
        <v>667</v>
      </c>
      <c r="C324" t="s">
        <v>668</v>
      </c>
    </row>
    <row r="325" spans="1:3" x14ac:dyDescent="0.25">
      <c r="A325">
        <v>324</v>
      </c>
      <c r="B325" t="s">
        <v>669</v>
      </c>
      <c r="C325" t="s">
        <v>670</v>
      </c>
    </row>
    <row r="326" spans="1:3" x14ac:dyDescent="0.25">
      <c r="A326">
        <v>325</v>
      </c>
      <c r="B326" t="s">
        <v>671</v>
      </c>
      <c r="C326" t="s">
        <v>672</v>
      </c>
    </row>
    <row r="327" spans="1:3" x14ac:dyDescent="0.25">
      <c r="A327">
        <v>326</v>
      </c>
      <c r="B327" t="s">
        <v>673</v>
      </c>
      <c r="C327" t="s">
        <v>674</v>
      </c>
    </row>
    <row r="328" spans="1:3" x14ac:dyDescent="0.25">
      <c r="A328">
        <v>327</v>
      </c>
      <c r="B328" t="s">
        <v>675</v>
      </c>
      <c r="C328" t="s">
        <v>676</v>
      </c>
    </row>
    <row r="329" spans="1:3" x14ac:dyDescent="0.25">
      <c r="A329">
        <v>328</v>
      </c>
      <c r="B329" t="s">
        <v>677</v>
      </c>
      <c r="C329" t="s">
        <v>678</v>
      </c>
    </row>
    <row r="330" spans="1:3" x14ac:dyDescent="0.25">
      <c r="A330">
        <v>329</v>
      </c>
      <c r="B330" t="s">
        <v>679</v>
      </c>
      <c r="C330" t="s">
        <v>680</v>
      </c>
    </row>
    <row r="331" spans="1:3" x14ac:dyDescent="0.25">
      <c r="A331">
        <v>330</v>
      </c>
      <c r="B331" t="s">
        <v>681</v>
      </c>
      <c r="C331" t="s">
        <v>682</v>
      </c>
    </row>
    <row r="332" spans="1:3" x14ac:dyDescent="0.25">
      <c r="A332">
        <v>331</v>
      </c>
      <c r="B332" t="s">
        <v>683</v>
      </c>
      <c r="C332" t="s">
        <v>684</v>
      </c>
    </row>
    <row r="333" spans="1:3" x14ac:dyDescent="0.25">
      <c r="A333">
        <v>332</v>
      </c>
      <c r="B333" t="s">
        <v>685</v>
      </c>
      <c r="C333" t="s">
        <v>686</v>
      </c>
    </row>
    <row r="334" spans="1:3" x14ac:dyDescent="0.25">
      <c r="A334">
        <v>333</v>
      </c>
      <c r="B334" t="s">
        <v>687</v>
      </c>
      <c r="C334" t="s">
        <v>688</v>
      </c>
    </row>
    <row r="335" spans="1:3" x14ac:dyDescent="0.25">
      <c r="A335">
        <v>334</v>
      </c>
      <c r="B335" t="s">
        <v>689</v>
      </c>
      <c r="C335" t="s">
        <v>690</v>
      </c>
    </row>
    <row r="336" spans="1:3" x14ac:dyDescent="0.25">
      <c r="A336">
        <v>335</v>
      </c>
      <c r="B336" t="s">
        <v>691</v>
      </c>
      <c r="C336" t="s">
        <v>692</v>
      </c>
    </row>
    <row r="337" spans="1:3" x14ac:dyDescent="0.25">
      <c r="A337">
        <v>336</v>
      </c>
      <c r="B337" t="s">
        <v>693</v>
      </c>
      <c r="C337" t="s">
        <v>694</v>
      </c>
    </row>
    <row r="338" spans="1:3" x14ac:dyDescent="0.25">
      <c r="A338">
        <v>337</v>
      </c>
      <c r="B338" t="s">
        <v>695</v>
      </c>
      <c r="C338" t="s">
        <v>696</v>
      </c>
    </row>
    <row r="339" spans="1:3" x14ac:dyDescent="0.25">
      <c r="A339">
        <v>338</v>
      </c>
      <c r="B339" t="s">
        <v>697</v>
      </c>
      <c r="C339" t="s">
        <v>698</v>
      </c>
    </row>
    <row r="340" spans="1:3" x14ac:dyDescent="0.25">
      <c r="A340">
        <v>339</v>
      </c>
      <c r="B340" t="s">
        <v>699</v>
      </c>
      <c r="C340" t="s">
        <v>700</v>
      </c>
    </row>
    <row r="341" spans="1:3" x14ac:dyDescent="0.25">
      <c r="A341">
        <v>340</v>
      </c>
      <c r="B341" t="s">
        <v>701</v>
      </c>
      <c r="C341" t="s">
        <v>702</v>
      </c>
    </row>
    <row r="342" spans="1:3" x14ac:dyDescent="0.25">
      <c r="A342">
        <v>341</v>
      </c>
      <c r="B342" t="s">
        <v>703</v>
      </c>
      <c r="C342" t="s">
        <v>704</v>
      </c>
    </row>
    <row r="343" spans="1:3" x14ac:dyDescent="0.25">
      <c r="A343">
        <v>342</v>
      </c>
      <c r="B343" t="s">
        <v>705</v>
      </c>
      <c r="C343" t="s">
        <v>706</v>
      </c>
    </row>
    <row r="344" spans="1:3" x14ac:dyDescent="0.25">
      <c r="A344">
        <v>343</v>
      </c>
      <c r="B344" t="s">
        <v>707</v>
      </c>
      <c r="C344" t="s">
        <v>708</v>
      </c>
    </row>
    <row r="345" spans="1:3" x14ac:dyDescent="0.25">
      <c r="A345">
        <v>344</v>
      </c>
      <c r="B345" t="s">
        <v>709</v>
      </c>
      <c r="C345" t="s">
        <v>710</v>
      </c>
    </row>
    <row r="346" spans="1:3" x14ac:dyDescent="0.25">
      <c r="A346">
        <v>345</v>
      </c>
      <c r="B346" t="s">
        <v>711</v>
      </c>
      <c r="C346" t="s">
        <v>712</v>
      </c>
    </row>
    <row r="347" spans="1:3" x14ac:dyDescent="0.25">
      <c r="A347">
        <v>346</v>
      </c>
      <c r="B347" t="s">
        <v>713</v>
      </c>
      <c r="C347" t="s">
        <v>714</v>
      </c>
    </row>
    <row r="348" spans="1:3" x14ac:dyDescent="0.25">
      <c r="A348">
        <v>347</v>
      </c>
      <c r="B348" t="s">
        <v>715</v>
      </c>
      <c r="C348" t="s">
        <v>716</v>
      </c>
    </row>
    <row r="349" spans="1:3" x14ac:dyDescent="0.25">
      <c r="A349">
        <v>348</v>
      </c>
      <c r="B349" t="s">
        <v>717</v>
      </c>
      <c r="C349" t="s">
        <v>718</v>
      </c>
    </row>
    <row r="350" spans="1:3" x14ac:dyDescent="0.25">
      <c r="A350">
        <v>349</v>
      </c>
      <c r="B350" t="s">
        <v>719</v>
      </c>
      <c r="C350" t="s">
        <v>720</v>
      </c>
    </row>
    <row r="351" spans="1:3" x14ac:dyDescent="0.25">
      <c r="A351">
        <v>350</v>
      </c>
      <c r="B351" t="s">
        <v>721</v>
      </c>
      <c r="C351" t="s">
        <v>722</v>
      </c>
    </row>
    <row r="352" spans="1:3" x14ac:dyDescent="0.25">
      <c r="A352">
        <v>351</v>
      </c>
      <c r="B352" t="s">
        <v>723</v>
      </c>
      <c r="C352" t="s">
        <v>724</v>
      </c>
    </row>
    <row r="353" spans="1:3" x14ac:dyDescent="0.25">
      <c r="A353">
        <v>352</v>
      </c>
      <c r="B353" t="s">
        <v>725</v>
      </c>
      <c r="C353" t="s">
        <v>726</v>
      </c>
    </row>
    <row r="354" spans="1:3" x14ac:dyDescent="0.25">
      <c r="A354">
        <v>353</v>
      </c>
      <c r="B354" t="s">
        <v>727</v>
      </c>
      <c r="C354" t="s">
        <v>728</v>
      </c>
    </row>
    <row r="355" spans="1:3" x14ac:dyDescent="0.25">
      <c r="A355">
        <v>354</v>
      </c>
      <c r="B355" t="s">
        <v>729</v>
      </c>
      <c r="C355" t="s">
        <v>730</v>
      </c>
    </row>
    <row r="356" spans="1:3" x14ac:dyDescent="0.25">
      <c r="A356">
        <v>355</v>
      </c>
      <c r="B356" t="s">
        <v>731</v>
      </c>
      <c r="C356" t="s">
        <v>732</v>
      </c>
    </row>
    <row r="357" spans="1:3" x14ac:dyDescent="0.25">
      <c r="A357">
        <v>356</v>
      </c>
      <c r="B357" t="s">
        <v>733</v>
      </c>
      <c r="C357" t="s">
        <v>734</v>
      </c>
    </row>
    <row r="358" spans="1:3" x14ac:dyDescent="0.25">
      <c r="A358">
        <v>357</v>
      </c>
      <c r="B358" t="s">
        <v>735</v>
      </c>
      <c r="C358" t="s">
        <v>736</v>
      </c>
    </row>
    <row r="359" spans="1:3" x14ac:dyDescent="0.25">
      <c r="A359">
        <v>358</v>
      </c>
      <c r="B359" t="s">
        <v>737</v>
      </c>
      <c r="C359" t="s">
        <v>738</v>
      </c>
    </row>
    <row r="360" spans="1:3" x14ac:dyDescent="0.25">
      <c r="A360">
        <v>359</v>
      </c>
      <c r="B360" t="s">
        <v>739</v>
      </c>
      <c r="C360" t="s">
        <v>740</v>
      </c>
    </row>
    <row r="361" spans="1:3" x14ac:dyDescent="0.25">
      <c r="A361">
        <v>360</v>
      </c>
      <c r="B361" t="s">
        <v>741</v>
      </c>
      <c r="C361" t="s">
        <v>742</v>
      </c>
    </row>
    <row r="362" spans="1:3" x14ac:dyDescent="0.25">
      <c r="A362">
        <v>361</v>
      </c>
      <c r="B362" t="s">
        <v>743</v>
      </c>
      <c r="C362" t="s">
        <v>744</v>
      </c>
    </row>
    <row r="363" spans="1:3" x14ac:dyDescent="0.25">
      <c r="A363">
        <v>362</v>
      </c>
      <c r="B363" t="s">
        <v>745</v>
      </c>
      <c r="C363" t="s">
        <v>746</v>
      </c>
    </row>
    <row r="364" spans="1:3" x14ac:dyDescent="0.25">
      <c r="A364">
        <v>363</v>
      </c>
      <c r="B364" t="s">
        <v>747</v>
      </c>
      <c r="C364" t="s">
        <v>748</v>
      </c>
    </row>
    <row r="365" spans="1:3" x14ac:dyDescent="0.25">
      <c r="A365">
        <v>364</v>
      </c>
      <c r="B365" t="s">
        <v>749</v>
      </c>
      <c r="C365" t="s">
        <v>750</v>
      </c>
    </row>
    <row r="366" spans="1:3" x14ac:dyDescent="0.25">
      <c r="A366">
        <v>365</v>
      </c>
      <c r="B366" t="s">
        <v>751</v>
      </c>
      <c r="C366" t="s">
        <v>752</v>
      </c>
    </row>
    <row r="367" spans="1:3" x14ac:dyDescent="0.25">
      <c r="A367">
        <v>366</v>
      </c>
      <c r="B367" t="s">
        <v>753</v>
      </c>
      <c r="C367" t="s">
        <v>754</v>
      </c>
    </row>
    <row r="368" spans="1:3" x14ac:dyDescent="0.25">
      <c r="A368">
        <v>367</v>
      </c>
      <c r="B368" t="s">
        <v>755</v>
      </c>
      <c r="C368" t="s">
        <v>756</v>
      </c>
    </row>
    <row r="369" spans="1:3" x14ac:dyDescent="0.25">
      <c r="A369">
        <v>368</v>
      </c>
      <c r="B369" t="s">
        <v>757</v>
      </c>
      <c r="C369" t="s">
        <v>758</v>
      </c>
    </row>
    <row r="370" spans="1:3" x14ac:dyDescent="0.25">
      <c r="A370">
        <v>369</v>
      </c>
      <c r="B370" t="s">
        <v>759</v>
      </c>
      <c r="C370" t="s">
        <v>760</v>
      </c>
    </row>
    <row r="371" spans="1:3" x14ac:dyDescent="0.25">
      <c r="A371">
        <v>370</v>
      </c>
      <c r="B371" t="s">
        <v>761</v>
      </c>
      <c r="C371" t="s">
        <v>762</v>
      </c>
    </row>
    <row r="372" spans="1:3" x14ac:dyDescent="0.25">
      <c r="A372">
        <v>371</v>
      </c>
      <c r="B372" t="s">
        <v>763</v>
      </c>
      <c r="C372" t="s">
        <v>764</v>
      </c>
    </row>
    <row r="373" spans="1:3" x14ac:dyDescent="0.25">
      <c r="A373">
        <v>372</v>
      </c>
      <c r="B373" t="s">
        <v>765</v>
      </c>
      <c r="C373" t="s">
        <v>766</v>
      </c>
    </row>
    <row r="374" spans="1:3" x14ac:dyDescent="0.25">
      <c r="A374">
        <v>373</v>
      </c>
      <c r="B374" t="s">
        <v>767</v>
      </c>
      <c r="C374" t="s">
        <v>768</v>
      </c>
    </row>
    <row r="375" spans="1:3" x14ac:dyDescent="0.25">
      <c r="A375">
        <v>374</v>
      </c>
      <c r="B375" t="s">
        <v>769</v>
      </c>
      <c r="C375" t="s">
        <v>770</v>
      </c>
    </row>
    <row r="376" spans="1:3" x14ac:dyDescent="0.25">
      <c r="A376">
        <v>375</v>
      </c>
      <c r="B376" t="s">
        <v>771</v>
      </c>
      <c r="C376" t="s">
        <v>772</v>
      </c>
    </row>
    <row r="377" spans="1:3" x14ac:dyDescent="0.25">
      <c r="A377">
        <v>376</v>
      </c>
      <c r="B377" t="s">
        <v>773</v>
      </c>
      <c r="C377" t="s">
        <v>774</v>
      </c>
    </row>
    <row r="378" spans="1:3" x14ac:dyDescent="0.25">
      <c r="A378">
        <v>377</v>
      </c>
      <c r="B378" t="s">
        <v>775</v>
      </c>
      <c r="C378" t="s">
        <v>776</v>
      </c>
    </row>
    <row r="379" spans="1:3" x14ac:dyDescent="0.25">
      <c r="A379">
        <v>378</v>
      </c>
      <c r="B379" t="s">
        <v>777</v>
      </c>
      <c r="C379" t="s">
        <v>778</v>
      </c>
    </row>
    <row r="380" spans="1:3" x14ac:dyDescent="0.25">
      <c r="A380">
        <v>379</v>
      </c>
      <c r="B380" t="s">
        <v>779</v>
      </c>
      <c r="C380" t="s">
        <v>780</v>
      </c>
    </row>
    <row r="381" spans="1:3" x14ac:dyDescent="0.25">
      <c r="A381">
        <v>380</v>
      </c>
      <c r="B381" t="s">
        <v>781</v>
      </c>
      <c r="C381" t="s">
        <v>782</v>
      </c>
    </row>
    <row r="382" spans="1:3" x14ac:dyDescent="0.25">
      <c r="A382">
        <v>381</v>
      </c>
      <c r="B382" t="s">
        <v>783</v>
      </c>
      <c r="C382" t="s">
        <v>784</v>
      </c>
    </row>
    <row r="383" spans="1:3" x14ac:dyDescent="0.25">
      <c r="A383">
        <v>382</v>
      </c>
      <c r="B383" t="s">
        <v>785</v>
      </c>
      <c r="C383" t="s">
        <v>786</v>
      </c>
    </row>
    <row r="384" spans="1:3" x14ac:dyDescent="0.25">
      <c r="A384">
        <v>383</v>
      </c>
      <c r="B384" t="s">
        <v>787</v>
      </c>
      <c r="C384" t="s">
        <v>788</v>
      </c>
    </row>
    <row r="385" spans="1:3" x14ac:dyDescent="0.25">
      <c r="A385">
        <v>384</v>
      </c>
      <c r="B385" t="s">
        <v>789</v>
      </c>
      <c r="C385" t="s">
        <v>790</v>
      </c>
    </row>
    <row r="386" spans="1:3" x14ac:dyDescent="0.25">
      <c r="A386">
        <v>385</v>
      </c>
      <c r="B386" t="s">
        <v>791</v>
      </c>
      <c r="C386" t="s">
        <v>792</v>
      </c>
    </row>
    <row r="387" spans="1:3" x14ac:dyDescent="0.25">
      <c r="A387">
        <v>386</v>
      </c>
      <c r="B387" t="s">
        <v>793</v>
      </c>
      <c r="C387" t="s">
        <v>794</v>
      </c>
    </row>
    <row r="388" spans="1:3" x14ac:dyDescent="0.25">
      <c r="A388">
        <v>387</v>
      </c>
      <c r="B388" t="s">
        <v>795</v>
      </c>
      <c r="C388" t="s">
        <v>796</v>
      </c>
    </row>
    <row r="389" spans="1:3" x14ac:dyDescent="0.25">
      <c r="A389">
        <v>388</v>
      </c>
      <c r="B389" t="s">
        <v>797</v>
      </c>
      <c r="C389" t="s">
        <v>798</v>
      </c>
    </row>
    <row r="390" spans="1:3" x14ac:dyDescent="0.25">
      <c r="A390">
        <v>389</v>
      </c>
      <c r="B390" t="s">
        <v>799</v>
      </c>
      <c r="C390" t="s">
        <v>800</v>
      </c>
    </row>
    <row r="391" spans="1:3" x14ac:dyDescent="0.25">
      <c r="A391">
        <v>390</v>
      </c>
      <c r="B391" t="s">
        <v>801</v>
      </c>
      <c r="C391" t="s">
        <v>802</v>
      </c>
    </row>
    <row r="392" spans="1:3" x14ac:dyDescent="0.25">
      <c r="A392">
        <v>391</v>
      </c>
      <c r="B392" t="s">
        <v>803</v>
      </c>
      <c r="C392" t="s">
        <v>804</v>
      </c>
    </row>
    <row r="393" spans="1:3" x14ac:dyDescent="0.25">
      <c r="A393">
        <v>392</v>
      </c>
      <c r="B393" t="s">
        <v>805</v>
      </c>
      <c r="C393" t="s">
        <v>806</v>
      </c>
    </row>
    <row r="394" spans="1:3" x14ac:dyDescent="0.25">
      <c r="A394">
        <v>393</v>
      </c>
      <c r="B394" t="s">
        <v>807</v>
      </c>
      <c r="C394" t="s">
        <v>808</v>
      </c>
    </row>
    <row r="395" spans="1:3" x14ac:dyDescent="0.25">
      <c r="A395">
        <v>394</v>
      </c>
      <c r="B395" t="s">
        <v>809</v>
      </c>
      <c r="C395" t="s">
        <v>810</v>
      </c>
    </row>
    <row r="396" spans="1:3" x14ac:dyDescent="0.25">
      <c r="A396">
        <v>395</v>
      </c>
      <c r="B396" t="s">
        <v>811</v>
      </c>
      <c r="C396" t="s">
        <v>812</v>
      </c>
    </row>
    <row r="397" spans="1:3" x14ac:dyDescent="0.25">
      <c r="A397">
        <v>396</v>
      </c>
      <c r="B397" t="s">
        <v>813</v>
      </c>
      <c r="C397" t="s">
        <v>814</v>
      </c>
    </row>
    <row r="398" spans="1:3" x14ac:dyDescent="0.25">
      <c r="A398">
        <v>397</v>
      </c>
      <c r="B398" t="s">
        <v>815</v>
      </c>
      <c r="C398" t="s">
        <v>816</v>
      </c>
    </row>
    <row r="399" spans="1:3" x14ac:dyDescent="0.25">
      <c r="A399">
        <v>398</v>
      </c>
      <c r="B399" t="s">
        <v>817</v>
      </c>
      <c r="C399" t="s">
        <v>818</v>
      </c>
    </row>
    <row r="400" spans="1:3" x14ac:dyDescent="0.25">
      <c r="A400">
        <v>399</v>
      </c>
      <c r="B400" t="s">
        <v>819</v>
      </c>
      <c r="C400" t="s">
        <v>820</v>
      </c>
    </row>
    <row r="401" spans="1:3" x14ac:dyDescent="0.25">
      <c r="A401">
        <v>400</v>
      </c>
      <c r="B401" t="s">
        <v>821</v>
      </c>
      <c r="C401" t="s">
        <v>822</v>
      </c>
    </row>
    <row r="402" spans="1:3" x14ac:dyDescent="0.25">
      <c r="A402">
        <v>401</v>
      </c>
      <c r="B402" t="s">
        <v>823</v>
      </c>
      <c r="C402" t="s">
        <v>824</v>
      </c>
    </row>
    <row r="403" spans="1:3" x14ac:dyDescent="0.25">
      <c r="A403">
        <v>402</v>
      </c>
      <c r="B403" t="s">
        <v>825</v>
      </c>
      <c r="C403" t="s">
        <v>826</v>
      </c>
    </row>
    <row r="404" spans="1:3" x14ac:dyDescent="0.25">
      <c r="A404">
        <v>403</v>
      </c>
      <c r="B404" t="s">
        <v>827</v>
      </c>
      <c r="C404" t="s">
        <v>828</v>
      </c>
    </row>
    <row r="405" spans="1:3" x14ac:dyDescent="0.25">
      <c r="A405">
        <v>404</v>
      </c>
      <c r="B405" t="s">
        <v>829</v>
      </c>
      <c r="C405" t="s">
        <v>830</v>
      </c>
    </row>
    <row r="406" spans="1:3" x14ac:dyDescent="0.25">
      <c r="A406">
        <v>405</v>
      </c>
      <c r="B406" t="s">
        <v>831</v>
      </c>
      <c r="C406" t="s">
        <v>832</v>
      </c>
    </row>
    <row r="407" spans="1:3" x14ac:dyDescent="0.25">
      <c r="A407">
        <v>406</v>
      </c>
      <c r="B407" t="s">
        <v>833</v>
      </c>
      <c r="C407" t="s">
        <v>834</v>
      </c>
    </row>
    <row r="408" spans="1:3" x14ac:dyDescent="0.25">
      <c r="A408">
        <v>407</v>
      </c>
      <c r="B408" t="s">
        <v>835</v>
      </c>
      <c r="C408" t="s">
        <v>836</v>
      </c>
    </row>
    <row r="409" spans="1:3" x14ac:dyDescent="0.25">
      <c r="A409">
        <v>408</v>
      </c>
      <c r="B409" t="s">
        <v>837</v>
      </c>
      <c r="C409" t="s">
        <v>838</v>
      </c>
    </row>
    <row r="410" spans="1:3" x14ac:dyDescent="0.25">
      <c r="A410">
        <v>409</v>
      </c>
      <c r="B410" t="s">
        <v>839</v>
      </c>
      <c r="C410" t="s">
        <v>840</v>
      </c>
    </row>
    <row r="411" spans="1:3" x14ac:dyDescent="0.25">
      <c r="A411">
        <v>410</v>
      </c>
      <c r="B411" t="s">
        <v>841</v>
      </c>
      <c r="C411" t="s">
        <v>842</v>
      </c>
    </row>
    <row r="412" spans="1:3" x14ac:dyDescent="0.25">
      <c r="A412">
        <v>411</v>
      </c>
      <c r="B412" t="s">
        <v>843</v>
      </c>
      <c r="C412" t="s">
        <v>844</v>
      </c>
    </row>
    <row r="413" spans="1:3" x14ac:dyDescent="0.25">
      <c r="A413">
        <v>412</v>
      </c>
      <c r="B413" t="s">
        <v>845</v>
      </c>
      <c r="C413" t="s">
        <v>846</v>
      </c>
    </row>
    <row r="414" spans="1:3" x14ac:dyDescent="0.25">
      <c r="A414">
        <v>413</v>
      </c>
      <c r="B414" t="s">
        <v>847</v>
      </c>
      <c r="C414" t="s">
        <v>848</v>
      </c>
    </row>
    <row r="415" spans="1:3" x14ac:dyDescent="0.25">
      <c r="A415">
        <v>414</v>
      </c>
      <c r="B415" t="s">
        <v>849</v>
      </c>
      <c r="C415" t="s">
        <v>850</v>
      </c>
    </row>
    <row r="416" spans="1:3" x14ac:dyDescent="0.25">
      <c r="A416">
        <v>415</v>
      </c>
      <c r="B416" t="s">
        <v>851</v>
      </c>
      <c r="C416" t="s">
        <v>852</v>
      </c>
    </row>
    <row r="417" spans="1:3" x14ac:dyDescent="0.25">
      <c r="A417">
        <v>416</v>
      </c>
      <c r="B417" t="s">
        <v>853</v>
      </c>
      <c r="C417" t="s">
        <v>854</v>
      </c>
    </row>
    <row r="418" spans="1:3" x14ac:dyDescent="0.25">
      <c r="A418">
        <v>417</v>
      </c>
      <c r="B418" t="s">
        <v>855</v>
      </c>
      <c r="C418" t="s">
        <v>856</v>
      </c>
    </row>
    <row r="419" spans="1:3" x14ac:dyDescent="0.25">
      <c r="A419">
        <v>418</v>
      </c>
      <c r="B419" t="s">
        <v>857</v>
      </c>
      <c r="C419" t="s">
        <v>858</v>
      </c>
    </row>
    <row r="420" spans="1:3" x14ac:dyDescent="0.25">
      <c r="A420">
        <v>419</v>
      </c>
      <c r="B420" t="s">
        <v>859</v>
      </c>
      <c r="C420" t="s">
        <v>860</v>
      </c>
    </row>
    <row r="421" spans="1:3" x14ac:dyDescent="0.25">
      <c r="A421">
        <v>420</v>
      </c>
      <c r="B421" t="s">
        <v>861</v>
      </c>
      <c r="C421" t="s">
        <v>862</v>
      </c>
    </row>
    <row r="422" spans="1:3" x14ac:dyDescent="0.25">
      <c r="A422">
        <v>421</v>
      </c>
      <c r="B422" t="s">
        <v>863</v>
      </c>
      <c r="C422" t="s">
        <v>864</v>
      </c>
    </row>
    <row r="423" spans="1:3" x14ac:dyDescent="0.25">
      <c r="A423">
        <v>422</v>
      </c>
      <c r="B423" t="s">
        <v>865</v>
      </c>
      <c r="C423" t="s">
        <v>866</v>
      </c>
    </row>
    <row r="424" spans="1:3" x14ac:dyDescent="0.25">
      <c r="A424">
        <v>423</v>
      </c>
      <c r="B424" t="s">
        <v>867</v>
      </c>
      <c r="C424" t="s">
        <v>868</v>
      </c>
    </row>
    <row r="425" spans="1:3" x14ac:dyDescent="0.25">
      <c r="A425">
        <v>424</v>
      </c>
      <c r="B425" t="s">
        <v>869</v>
      </c>
      <c r="C425" t="s">
        <v>870</v>
      </c>
    </row>
    <row r="426" spans="1:3" x14ac:dyDescent="0.25">
      <c r="A426">
        <v>425</v>
      </c>
      <c r="B426" t="s">
        <v>871</v>
      </c>
      <c r="C426" t="s">
        <v>872</v>
      </c>
    </row>
    <row r="427" spans="1:3" x14ac:dyDescent="0.25">
      <c r="A427">
        <v>426</v>
      </c>
      <c r="B427" t="s">
        <v>873</v>
      </c>
      <c r="C427" t="s">
        <v>874</v>
      </c>
    </row>
    <row r="428" spans="1:3" x14ac:dyDescent="0.25">
      <c r="A428">
        <v>427</v>
      </c>
      <c r="B428" t="s">
        <v>875</v>
      </c>
      <c r="C428" t="s">
        <v>876</v>
      </c>
    </row>
    <row r="429" spans="1:3" x14ac:dyDescent="0.25">
      <c r="A429">
        <v>428</v>
      </c>
      <c r="B429" t="s">
        <v>877</v>
      </c>
      <c r="C429" t="s">
        <v>878</v>
      </c>
    </row>
    <row r="430" spans="1:3" x14ac:dyDescent="0.25">
      <c r="A430">
        <v>429</v>
      </c>
      <c r="B430" t="s">
        <v>879</v>
      </c>
      <c r="C430" t="s">
        <v>880</v>
      </c>
    </row>
    <row r="431" spans="1:3" x14ac:dyDescent="0.25">
      <c r="A431">
        <v>430</v>
      </c>
      <c r="B431" t="s">
        <v>881</v>
      </c>
      <c r="C431" t="s">
        <v>882</v>
      </c>
    </row>
    <row r="432" spans="1:3" x14ac:dyDescent="0.25">
      <c r="A432">
        <v>431</v>
      </c>
      <c r="B432" t="s">
        <v>883</v>
      </c>
      <c r="C432" t="s">
        <v>884</v>
      </c>
    </row>
    <row r="433" spans="1:3" x14ac:dyDescent="0.25">
      <c r="A433">
        <v>432</v>
      </c>
      <c r="B433" t="s">
        <v>885</v>
      </c>
      <c r="C433" t="s">
        <v>886</v>
      </c>
    </row>
    <row r="434" spans="1:3" x14ac:dyDescent="0.25">
      <c r="A434">
        <v>433</v>
      </c>
      <c r="B434" t="s">
        <v>887</v>
      </c>
      <c r="C434" t="s">
        <v>888</v>
      </c>
    </row>
    <row r="435" spans="1:3" x14ac:dyDescent="0.25">
      <c r="A435">
        <v>434</v>
      </c>
      <c r="B435" t="s">
        <v>889</v>
      </c>
      <c r="C435" t="s">
        <v>890</v>
      </c>
    </row>
    <row r="436" spans="1:3" x14ac:dyDescent="0.25">
      <c r="A436">
        <v>435</v>
      </c>
      <c r="B436" t="s">
        <v>891</v>
      </c>
      <c r="C436" t="s">
        <v>892</v>
      </c>
    </row>
    <row r="437" spans="1:3" x14ac:dyDescent="0.25">
      <c r="A437">
        <v>436</v>
      </c>
      <c r="B437" t="s">
        <v>893</v>
      </c>
      <c r="C437" t="s">
        <v>894</v>
      </c>
    </row>
    <row r="438" spans="1:3" x14ac:dyDescent="0.25">
      <c r="A438">
        <v>437</v>
      </c>
      <c r="B438" t="s">
        <v>895</v>
      </c>
      <c r="C438" t="s">
        <v>896</v>
      </c>
    </row>
    <row r="439" spans="1:3" x14ac:dyDescent="0.25">
      <c r="A439">
        <v>438</v>
      </c>
      <c r="B439" t="s">
        <v>897</v>
      </c>
      <c r="C439" t="s">
        <v>898</v>
      </c>
    </row>
    <row r="440" spans="1:3" x14ac:dyDescent="0.25">
      <c r="A440">
        <v>439</v>
      </c>
      <c r="B440" t="s">
        <v>899</v>
      </c>
      <c r="C440" t="s">
        <v>900</v>
      </c>
    </row>
    <row r="441" spans="1:3" x14ac:dyDescent="0.25">
      <c r="A441">
        <v>440</v>
      </c>
      <c r="B441" t="s">
        <v>901</v>
      </c>
      <c r="C441" t="s">
        <v>902</v>
      </c>
    </row>
    <row r="442" spans="1:3" x14ac:dyDescent="0.25">
      <c r="A442">
        <v>441</v>
      </c>
      <c r="B442" t="s">
        <v>903</v>
      </c>
      <c r="C442" t="s">
        <v>904</v>
      </c>
    </row>
    <row r="443" spans="1:3" x14ac:dyDescent="0.25">
      <c r="A443">
        <v>442</v>
      </c>
      <c r="B443" t="s">
        <v>905</v>
      </c>
      <c r="C443" t="s">
        <v>906</v>
      </c>
    </row>
    <row r="444" spans="1:3" x14ac:dyDescent="0.25">
      <c r="A444">
        <v>443</v>
      </c>
      <c r="B444" t="s">
        <v>907</v>
      </c>
      <c r="C444" t="s">
        <v>908</v>
      </c>
    </row>
    <row r="445" spans="1:3" x14ac:dyDescent="0.25">
      <c r="A445">
        <v>444</v>
      </c>
      <c r="B445" t="s">
        <v>909</v>
      </c>
      <c r="C445" t="s">
        <v>910</v>
      </c>
    </row>
    <row r="446" spans="1:3" x14ac:dyDescent="0.25">
      <c r="A446">
        <v>445</v>
      </c>
      <c r="B446" t="s">
        <v>911</v>
      </c>
      <c r="C446" t="s">
        <v>912</v>
      </c>
    </row>
    <row r="447" spans="1:3" x14ac:dyDescent="0.25">
      <c r="A447">
        <v>446</v>
      </c>
      <c r="B447" t="s">
        <v>913</v>
      </c>
      <c r="C447" t="s">
        <v>914</v>
      </c>
    </row>
    <row r="448" spans="1:3" x14ac:dyDescent="0.25">
      <c r="A448">
        <v>447</v>
      </c>
      <c r="B448" t="s">
        <v>915</v>
      </c>
      <c r="C448" t="s">
        <v>916</v>
      </c>
    </row>
    <row r="449" spans="1:3" x14ac:dyDescent="0.25">
      <c r="A449">
        <v>448</v>
      </c>
      <c r="B449" t="s">
        <v>917</v>
      </c>
      <c r="C449" t="s">
        <v>918</v>
      </c>
    </row>
    <row r="450" spans="1:3" x14ac:dyDescent="0.25">
      <c r="A450">
        <v>449</v>
      </c>
      <c r="B450" t="s">
        <v>919</v>
      </c>
      <c r="C450" t="s">
        <v>920</v>
      </c>
    </row>
    <row r="451" spans="1:3" x14ac:dyDescent="0.25">
      <c r="A451">
        <v>450</v>
      </c>
      <c r="B451" t="s">
        <v>921</v>
      </c>
      <c r="C451" t="s">
        <v>922</v>
      </c>
    </row>
    <row r="452" spans="1:3" x14ac:dyDescent="0.25">
      <c r="A452">
        <v>451</v>
      </c>
      <c r="B452" t="s">
        <v>923</v>
      </c>
      <c r="C452" t="s">
        <v>924</v>
      </c>
    </row>
    <row r="453" spans="1:3" x14ac:dyDescent="0.25">
      <c r="A453">
        <v>452</v>
      </c>
      <c r="B453" t="s">
        <v>925</v>
      </c>
      <c r="C453" t="s">
        <v>926</v>
      </c>
    </row>
    <row r="454" spans="1:3" x14ac:dyDescent="0.25">
      <c r="A454">
        <v>453</v>
      </c>
      <c r="B454" t="s">
        <v>927</v>
      </c>
      <c r="C454" t="s">
        <v>928</v>
      </c>
    </row>
    <row r="455" spans="1:3" x14ac:dyDescent="0.25">
      <c r="A455">
        <v>454</v>
      </c>
      <c r="B455" t="s">
        <v>929</v>
      </c>
      <c r="C455" t="s">
        <v>930</v>
      </c>
    </row>
    <row r="456" spans="1:3" x14ac:dyDescent="0.25">
      <c r="A456">
        <v>455</v>
      </c>
      <c r="B456" t="s">
        <v>931</v>
      </c>
      <c r="C456" t="s">
        <v>932</v>
      </c>
    </row>
    <row r="457" spans="1:3" x14ac:dyDescent="0.25">
      <c r="A457">
        <v>456</v>
      </c>
      <c r="B457" t="s">
        <v>933</v>
      </c>
      <c r="C457" t="s">
        <v>934</v>
      </c>
    </row>
    <row r="458" spans="1:3" x14ac:dyDescent="0.25">
      <c r="A458">
        <v>457</v>
      </c>
      <c r="B458" t="s">
        <v>935</v>
      </c>
      <c r="C458" t="s">
        <v>936</v>
      </c>
    </row>
    <row r="459" spans="1:3" x14ac:dyDescent="0.25">
      <c r="A459">
        <v>458</v>
      </c>
      <c r="B459" t="s">
        <v>937</v>
      </c>
      <c r="C459" t="s">
        <v>938</v>
      </c>
    </row>
    <row r="460" spans="1:3" x14ac:dyDescent="0.25">
      <c r="A460">
        <v>459</v>
      </c>
      <c r="B460" t="s">
        <v>939</v>
      </c>
      <c r="C460" t="s">
        <v>940</v>
      </c>
    </row>
    <row r="461" spans="1:3" x14ac:dyDescent="0.25">
      <c r="A461">
        <v>460</v>
      </c>
      <c r="B461" t="s">
        <v>941</v>
      </c>
      <c r="C461" t="s">
        <v>942</v>
      </c>
    </row>
    <row r="462" spans="1:3" x14ac:dyDescent="0.25">
      <c r="A462">
        <v>461</v>
      </c>
      <c r="B462" t="s">
        <v>943</v>
      </c>
      <c r="C462" t="s">
        <v>944</v>
      </c>
    </row>
    <row r="463" spans="1:3" x14ac:dyDescent="0.25">
      <c r="A463">
        <v>462</v>
      </c>
      <c r="B463" t="s">
        <v>945</v>
      </c>
      <c r="C463" t="s">
        <v>946</v>
      </c>
    </row>
    <row r="464" spans="1:3" x14ac:dyDescent="0.25">
      <c r="A464">
        <v>463</v>
      </c>
      <c r="B464" t="s">
        <v>947</v>
      </c>
      <c r="C464" t="s">
        <v>948</v>
      </c>
    </row>
    <row r="465" spans="1:3" x14ac:dyDescent="0.25">
      <c r="A465">
        <v>464</v>
      </c>
      <c r="B465" t="s">
        <v>949</v>
      </c>
      <c r="C465" t="s">
        <v>950</v>
      </c>
    </row>
    <row r="466" spans="1:3" x14ac:dyDescent="0.25">
      <c r="A466">
        <v>465</v>
      </c>
      <c r="B466" t="s">
        <v>951</v>
      </c>
      <c r="C466" t="s">
        <v>952</v>
      </c>
    </row>
    <row r="467" spans="1:3" x14ac:dyDescent="0.25">
      <c r="A467">
        <v>466</v>
      </c>
      <c r="B467" t="s">
        <v>953</v>
      </c>
      <c r="C467" t="s">
        <v>954</v>
      </c>
    </row>
    <row r="468" spans="1:3" x14ac:dyDescent="0.25">
      <c r="A468">
        <v>467</v>
      </c>
      <c r="B468" t="s">
        <v>955</v>
      </c>
      <c r="C468" t="s">
        <v>956</v>
      </c>
    </row>
    <row r="469" spans="1:3" x14ac:dyDescent="0.25">
      <c r="A469">
        <v>468</v>
      </c>
      <c r="B469" t="s">
        <v>957</v>
      </c>
      <c r="C469" t="s">
        <v>958</v>
      </c>
    </row>
    <row r="470" spans="1:3" x14ac:dyDescent="0.25">
      <c r="A470">
        <v>469</v>
      </c>
      <c r="B470" t="s">
        <v>959</v>
      </c>
      <c r="C470" t="s">
        <v>960</v>
      </c>
    </row>
    <row r="471" spans="1:3" x14ac:dyDescent="0.25">
      <c r="A471">
        <v>470</v>
      </c>
      <c r="B471" t="s">
        <v>961</v>
      </c>
      <c r="C471" t="s">
        <v>962</v>
      </c>
    </row>
    <row r="472" spans="1:3" x14ac:dyDescent="0.25">
      <c r="A472">
        <v>471</v>
      </c>
      <c r="B472" t="s">
        <v>963</v>
      </c>
      <c r="C472" t="s">
        <v>964</v>
      </c>
    </row>
    <row r="473" spans="1:3" x14ac:dyDescent="0.25">
      <c r="A473">
        <v>472</v>
      </c>
      <c r="B473" t="s">
        <v>965</v>
      </c>
      <c r="C473" t="s">
        <v>966</v>
      </c>
    </row>
    <row r="474" spans="1:3" x14ac:dyDescent="0.25">
      <c r="A474">
        <v>473</v>
      </c>
      <c r="B474" t="s">
        <v>967</v>
      </c>
      <c r="C474" t="s">
        <v>968</v>
      </c>
    </row>
    <row r="475" spans="1:3" x14ac:dyDescent="0.25">
      <c r="A475">
        <v>474</v>
      </c>
      <c r="B475" t="s">
        <v>969</v>
      </c>
      <c r="C475" t="s">
        <v>970</v>
      </c>
    </row>
    <row r="476" spans="1:3" x14ac:dyDescent="0.25">
      <c r="A476">
        <v>475</v>
      </c>
      <c r="B476" t="s">
        <v>971</v>
      </c>
      <c r="C476" t="s">
        <v>972</v>
      </c>
    </row>
    <row r="477" spans="1:3" x14ac:dyDescent="0.25">
      <c r="A477">
        <v>476</v>
      </c>
      <c r="B477" t="s">
        <v>973</v>
      </c>
      <c r="C477" t="s">
        <v>974</v>
      </c>
    </row>
    <row r="478" spans="1:3" x14ac:dyDescent="0.25">
      <c r="A478">
        <v>477</v>
      </c>
      <c r="B478" t="s">
        <v>975</v>
      </c>
      <c r="C478" t="s">
        <v>976</v>
      </c>
    </row>
    <row r="479" spans="1:3" x14ac:dyDescent="0.25">
      <c r="A479">
        <v>478</v>
      </c>
      <c r="B479" t="s">
        <v>977</v>
      </c>
      <c r="C479" t="s">
        <v>978</v>
      </c>
    </row>
    <row r="480" spans="1:3" x14ac:dyDescent="0.25">
      <c r="A480">
        <v>479</v>
      </c>
      <c r="B480" t="s">
        <v>979</v>
      </c>
      <c r="C480" t="s">
        <v>980</v>
      </c>
    </row>
    <row r="481" spans="1:3" x14ac:dyDescent="0.25">
      <c r="A481">
        <v>480</v>
      </c>
      <c r="B481" t="s">
        <v>981</v>
      </c>
      <c r="C481" t="s">
        <v>982</v>
      </c>
    </row>
    <row r="482" spans="1:3" x14ac:dyDescent="0.25">
      <c r="A482">
        <v>481</v>
      </c>
      <c r="B482" t="s">
        <v>983</v>
      </c>
      <c r="C482" t="s">
        <v>984</v>
      </c>
    </row>
    <row r="483" spans="1:3" x14ac:dyDescent="0.25">
      <c r="A483">
        <v>482</v>
      </c>
      <c r="B483" t="s">
        <v>985</v>
      </c>
      <c r="C483" t="s">
        <v>986</v>
      </c>
    </row>
    <row r="484" spans="1:3" x14ac:dyDescent="0.25">
      <c r="A484">
        <v>483</v>
      </c>
      <c r="B484" t="s">
        <v>987</v>
      </c>
      <c r="C484" t="s">
        <v>988</v>
      </c>
    </row>
    <row r="485" spans="1:3" x14ac:dyDescent="0.25">
      <c r="A485">
        <v>484</v>
      </c>
      <c r="B485" t="s">
        <v>989</v>
      </c>
      <c r="C485" t="s">
        <v>990</v>
      </c>
    </row>
    <row r="486" spans="1:3" x14ac:dyDescent="0.25">
      <c r="A486">
        <v>485</v>
      </c>
      <c r="B486" t="s">
        <v>991</v>
      </c>
      <c r="C486" t="s">
        <v>992</v>
      </c>
    </row>
    <row r="487" spans="1:3" x14ac:dyDescent="0.25">
      <c r="A487">
        <v>486</v>
      </c>
      <c r="B487" t="s">
        <v>993</v>
      </c>
      <c r="C487" t="s">
        <v>994</v>
      </c>
    </row>
    <row r="488" spans="1:3" x14ac:dyDescent="0.25">
      <c r="A488">
        <v>487</v>
      </c>
      <c r="B488" t="s">
        <v>995</v>
      </c>
      <c r="C488" t="s">
        <v>996</v>
      </c>
    </row>
    <row r="489" spans="1:3" x14ac:dyDescent="0.25">
      <c r="A489">
        <v>488</v>
      </c>
      <c r="B489" t="s">
        <v>997</v>
      </c>
      <c r="C489" t="s">
        <v>998</v>
      </c>
    </row>
    <row r="490" spans="1:3" x14ac:dyDescent="0.25">
      <c r="A490">
        <v>489</v>
      </c>
      <c r="B490" t="s">
        <v>999</v>
      </c>
      <c r="C490" t="s">
        <v>1000</v>
      </c>
    </row>
    <row r="491" spans="1:3" x14ac:dyDescent="0.25">
      <c r="A491">
        <v>490</v>
      </c>
      <c r="B491" t="s">
        <v>1001</v>
      </c>
      <c r="C491" t="s">
        <v>1002</v>
      </c>
    </row>
    <row r="492" spans="1:3" x14ac:dyDescent="0.25">
      <c r="A492">
        <v>491</v>
      </c>
      <c r="B492" t="s">
        <v>1003</v>
      </c>
      <c r="C492" t="s">
        <v>1004</v>
      </c>
    </row>
    <row r="493" spans="1:3" x14ac:dyDescent="0.25">
      <c r="A493">
        <v>492</v>
      </c>
      <c r="B493" t="s">
        <v>1005</v>
      </c>
      <c r="C493" t="s">
        <v>1006</v>
      </c>
    </row>
    <row r="494" spans="1:3" x14ac:dyDescent="0.25">
      <c r="A494">
        <v>493</v>
      </c>
      <c r="B494" t="s">
        <v>1007</v>
      </c>
      <c r="C494" t="s">
        <v>1008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14" customWidth="1"/>
    <col min="5" max="5" width="12" style="4" customWidth="1"/>
    <col min="6" max="7" width="20" style="5" customWidth="1"/>
    <col min="8" max="8" width="12" style="4" customWidth="1"/>
    <col min="9" max="10" width="10" style="4" customWidth="1"/>
    <col min="11" max="13" width="14" customWidth="1"/>
    <col min="14" max="14" width="22" style="5" customWidth="1"/>
    <col min="15" max="15" width="42" customWidth="1"/>
  </cols>
  <sheetData>
    <row r="1" spans="1:15" x14ac:dyDescent="0.25">
      <c r="A1" s="3" t="s">
        <v>1009</v>
      </c>
      <c r="B1" s="3" t="s">
        <v>1010</v>
      </c>
      <c r="C1" s="3" t="s">
        <v>3</v>
      </c>
      <c r="D1" s="3" t="s">
        <v>4</v>
      </c>
      <c r="E1" s="6" t="s">
        <v>20</v>
      </c>
      <c r="F1" s="7" t="s">
        <v>22</v>
      </c>
      <c r="G1" s="7" t="s">
        <v>21</v>
      </c>
      <c r="H1" s="6" t="s">
        <v>1011</v>
      </c>
      <c r="I1" s="6" t="s">
        <v>1012</v>
      </c>
      <c r="J1" s="6" t="s">
        <v>1013</v>
      </c>
      <c r="K1" s="3" t="s">
        <v>1014</v>
      </c>
      <c r="L1" s="3" t="s">
        <v>1015</v>
      </c>
      <c r="M1" s="3" t="s">
        <v>1016</v>
      </c>
      <c r="N1" s="7" t="s">
        <v>1017</v>
      </c>
      <c r="O1" s="3" t="s">
        <v>1018</v>
      </c>
    </row>
    <row r="2" spans="1:15" x14ac:dyDescent="0.25">
      <c r="A2" t="s">
        <v>1019</v>
      </c>
      <c r="B2" t="s">
        <v>1020</v>
      </c>
      <c r="C2" t="s">
        <v>1021</v>
      </c>
      <c r="D2" t="s">
        <v>10</v>
      </c>
      <c r="E2" s="4" t="s">
        <v>1022</v>
      </c>
      <c r="F2" s="5"/>
      <c r="G2" s="5"/>
      <c r="H2" s="4" t="s">
        <v>1022</v>
      </c>
      <c r="I2" s="4" t="s">
        <v>1022</v>
      </c>
      <c r="J2" s="4" t="s">
        <v>1022</v>
      </c>
      <c r="K2" t="s">
        <v>1022</v>
      </c>
      <c r="L2" t="s">
        <v>1022</v>
      </c>
      <c r="M2" t="s">
        <v>1022</v>
      </c>
      <c r="N2" s="5" t="s">
        <v>1022</v>
      </c>
      <c r="O2" t="s">
        <v>1022</v>
      </c>
    </row>
    <row r="3" spans="1:15" x14ac:dyDescent="0.25">
      <c r="A3" t="s">
        <v>1023</v>
      </c>
      <c r="B3" t="s">
        <v>1024</v>
      </c>
      <c r="C3" t="s">
        <v>6</v>
      </c>
      <c r="D3" t="s">
        <v>7</v>
      </c>
      <c r="E3" s="4">
        <v>16</v>
      </c>
      <c r="F3" s="5">
        <f>IF($E3="","",IFERROR(INDEX(PokemonRef!$C$2:$C$494,MATCH($E3,PokemonRef!$A$2:$A$494,0)),""))</f>
      </c>
      <c r="G3" s="5">
        <f>IF($E3="","",IFERROR(INDEX(PokemonRef!$B$2:$B$494,MATCH($E3,PokemonRef!$A$2:$A$494,0)),""))</f>
      </c>
      <c r="H3" s="4">
        <v>50</v>
      </c>
      <c r="I3" s="4">
        <v>2</v>
      </c>
      <c r="J3" s="4">
        <v>5</v>
      </c>
      <c r="K3" t="s">
        <v>8</v>
      </c>
      <c r="L3" t="s">
        <v>1022</v>
      </c>
      <c r="M3" t="s">
        <v>1022</v>
      </c>
      <c r="N3" s="5">
        <f>IF($E3="","",TEXTJOIN("|",TRUE,K3:M3))</f>
      </c>
      <c r="O3" t="s">
        <v>1022</v>
      </c>
    </row>
    <row r="4" spans="1:15" x14ac:dyDescent="0.25">
      <c r="A4" t="s">
        <v>1023</v>
      </c>
      <c r="B4" t="s">
        <v>1024</v>
      </c>
      <c r="C4" t="s">
        <v>6</v>
      </c>
      <c r="D4" t="s">
        <v>7</v>
      </c>
      <c r="E4" s="4">
        <v>19</v>
      </c>
      <c r="F4" s="5">
        <f>IF($E4="","",IFERROR(INDEX(PokemonRef!$C$2:$C$494,MATCH($E4,PokemonRef!$A$2:$A$494,0)),""))</f>
      </c>
      <c r="G4" s="5">
        <f>IF($E4="","",IFERROR(INDEX(PokemonRef!$B$2:$B$494,MATCH($E4,PokemonRef!$A$2:$A$494,0)),""))</f>
      </c>
      <c r="H4" s="4">
        <v>50</v>
      </c>
      <c r="I4" s="4">
        <v>2</v>
      </c>
      <c r="J4" s="4">
        <v>4</v>
      </c>
      <c r="K4" t="s">
        <v>8</v>
      </c>
      <c r="L4" t="s">
        <v>1022</v>
      </c>
      <c r="M4" t="s">
        <v>1022</v>
      </c>
      <c r="N4" s="5">
        <f>IF($E4="","",TEXTJOIN("|",TRUE,K4:M4))</f>
      </c>
      <c r="O4" t="s">
        <v>1022</v>
      </c>
    </row>
    <row r="5" spans="1:15" x14ac:dyDescent="0.25">
      <c r="A5" t="s">
        <v>1025</v>
      </c>
      <c r="B5" t="s">
        <v>1026</v>
      </c>
      <c r="C5" t="s">
        <v>1021</v>
      </c>
      <c r="D5" t="s">
        <v>10</v>
      </c>
      <c r="E5" s="4" t="s">
        <v>1022</v>
      </c>
      <c r="F5" s="5"/>
      <c r="G5" s="5"/>
      <c r="H5" s="4" t="s">
        <v>1022</v>
      </c>
      <c r="I5" s="4" t="s">
        <v>1022</v>
      </c>
      <c r="J5" s="4" t="s">
        <v>1022</v>
      </c>
      <c r="K5" t="s">
        <v>1022</v>
      </c>
      <c r="L5" t="s">
        <v>1022</v>
      </c>
      <c r="M5" t="s">
        <v>1022</v>
      </c>
      <c r="N5" s="5" t="s">
        <v>1022</v>
      </c>
      <c r="O5" t="s">
        <v>1022</v>
      </c>
    </row>
    <row r="6" spans="1:15" x14ac:dyDescent="0.25">
      <c r="A6" t="s">
        <v>1027</v>
      </c>
      <c r="B6" t="s">
        <v>1028</v>
      </c>
      <c r="C6" t="s">
        <v>6</v>
      </c>
      <c r="D6" t="s">
        <v>7</v>
      </c>
      <c r="E6" s="4">
        <v>16</v>
      </c>
      <c r="F6" s="5">
        <f>IF($E6="","",IFERROR(INDEX(PokemonRef!$C$2:$C$494,MATCH($E6,PokemonRef!$A$2:$A$494,0)),""))</f>
      </c>
      <c r="G6" s="5">
        <f>IF($E6="","",IFERROR(INDEX(PokemonRef!$B$2:$B$494,MATCH($E6,PokemonRef!$A$2:$A$494,0)),""))</f>
      </c>
      <c r="H6" s="4">
        <v>45</v>
      </c>
      <c r="I6" s="4">
        <v>2</v>
      </c>
      <c r="J6" s="4">
        <v>5</v>
      </c>
      <c r="K6" t="s">
        <v>8</v>
      </c>
      <c r="L6" t="s">
        <v>1022</v>
      </c>
      <c r="M6" t="s">
        <v>1022</v>
      </c>
      <c r="N6" s="5">
        <f>IF($E6="","",TEXTJOIN("|",TRUE,K6:M6))</f>
      </c>
      <c r="O6" t="s">
        <v>1022</v>
      </c>
    </row>
    <row r="7" spans="1:15" x14ac:dyDescent="0.25">
      <c r="A7" t="s">
        <v>1027</v>
      </c>
      <c r="B7" t="s">
        <v>1028</v>
      </c>
      <c r="C7" t="s">
        <v>6</v>
      </c>
      <c r="D7" t="s">
        <v>7</v>
      </c>
      <c r="E7" s="4">
        <v>19</v>
      </c>
      <c r="F7" s="5">
        <f>IF($E7="","",IFERROR(INDEX(PokemonRef!$C$2:$C$494,MATCH($E7,PokemonRef!$A$2:$A$494,0)),""))</f>
      </c>
      <c r="G7" s="5">
        <f>IF($E7="","",IFERROR(INDEX(PokemonRef!$B$2:$B$494,MATCH($E7,PokemonRef!$A$2:$A$494,0)),""))</f>
      </c>
      <c r="H7" s="4">
        <v>45</v>
      </c>
      <c r="I7" s="4">
        <v>2</v>
      </c>
      <c r="J7" s="4">
        <v>5</v>
      </c>
      <c r="K7" t="s">
        <v>8</v>
      </c>
      <c r="L7" t="s">
        <v>1022</v>
      </c>
      <c r="M7" t="s">
        <v>1022</v>
      </c>
      <c r="N7" s="5">
        <f>IF($E7="","",TEXTJOIN("|",TRUE,K7:M7))</f>
      </c>
      <c r="O7" t="s">
        <v>1022</v>
      </c>
    </row>
    <row r="8" spans="1:15" x14ac:dyDescent="0.25">
      <c r="A8" t="s">
        <v>1027</v>
      </c>
      <c r="B8" t="s">
        <v>1028</v>
      </c>
      <c r="C8" t="s">
        <v>6</v>
      </c>
      <c r="D8" t="s">
        <v>7</v>
      </c>
      <c r="E8" s="4">
        <v>10</v>
      </c>
      <c r="F8" s="5">
        <f>IF($E8="","",IFERROR(INDEX(PokemonRef!$C$2:$C$494,MATCH($E8,PokemonRef!$A$2:$A$494,0)),""))</f>
      </c>
      <c r="G8" s="5">
        <f>IF($E8="","",IFERROR(INDEX(PokemonRef!$B$2:$B$494,MATCH($E8,PokemonRef!$A$2:$A$494,0)),""))</f>
      </c>
      <c r="H8" s="4">
        <v>5</v>
      </c>
      <c r="I8" s="4">
        <v>4</v>
      </c>
      <c r="J8" s="4">
        <v>5</v>
      </c>
      <c r="K8" t="s">
        <v>8</v>
      </c>
      <c r="L8" t="s">
        <v>1022</v>
      </c>
      <c r="M8" t="s">
        <v>1022</v>
      </c>
      <c r="N8" s="5">
        <f>IF($E8="","",TEXTJOIN("|",TRUE,K8:M8))</f>
      </c>
      <c r="O8" t="s">
        <v>1022</v>
      </c>
    </row>
    <row r="9" spans="1:15" x14ac:dyDescent="0.25">
      <c r="A9" t="s">
        <v>1027</v>
      </c>
      <c r="B9" t="s">
        <v>1028</v>
      </c>
      <c r="C9" t="s">
        <v>6</v>
      </c>
      <c r="D9" t="s">
        <v>7</v>
      </c>
      <c r="E9" s="4">
        <v>13</v>
      </c>
      <c r="F9" s="5">
        <f>IF($E9="","",IFERROR(INDEX(PokemonRef!$C$2:$C$494,MATCH($E9,PokemonRef!$A$2:$A$494,0)),""))</f>
      </c>
      <c r="G9" s="5">
        <f>IF($E9="","",IFERROR(INDEX(PokemonRef!$B$2:$B$494,MATCH($E9,PokemonRef!$A$2:$A$494,0)),""))</f>
      </c>
      <c r="H9" s="4">
        <v>5</v>
      </c>
      <c r="I9" s="4">
        <v>4</v>
      </c>
      <c r="J9" s="4">
        <v>5</v>
      </c>
      <c r="K9" t="s">
        <v>8</v>
      </c>
      <c r="L9" t="s">
        <v>1022</v>
      </c>
      <c r="M9" t="s">
        <v>1022</v>
      </c>
      <c r="N9" s="5">
        <f>IF($E9="","",TEXTJOIN("|",TRUE,K9:M9))</f>
      </c>
      <c r="O9" t="s">
        <v>1022</v>
      </c>
    </row>
    <row r="10" spans="1:15" x14ac:dyDescent="0.25">
      <c r="A10" t="s">
        <v>1029</v>
      </c>
      <c r="B10" t="s">
        <v>1030</v>
      </c>
      <c r="C10" t="s">
        <v>12</v>
      </c>
      <c r="D10" t="s">
        <v>7</v>
      </c>
      <c r="E10" s="4">
        <v>10</v>
      </c>
      <c r="F10" s="5">
        <f>IF($E10="","",IFERROR(INDEX(PokemonRef!$C$2:$C$494,MATCH($E10,PokemonRef!$A$2:$A$494,0)),""))</f>
      </c>
      <c r="G10" s="5">
        <f>IF($E10="","",IFERROR(INDEX(PokemonRef!$B$2:$B$494,MATCH($E10,PokemonRef!$A$2:$A$494,0)),""))</f>
      </c>
      <c r="H10" s="4">
        <v>40</v>
      </c>
      <c r="I10" s="4">
        <v>3</v>
      </c>
      <c r="J10" s="4">
        <v>5</v>
      </c>
      <c r="K10" t="s">
        <v>8</v>
      </c>
      <c r="L10" t="s">
        <v>1022</v>
      </c>
      <c r="M10" t="s">
        <v>1022</v>
      </c>
      <c r="N10" s="5">
        <f>IF($E10="","",TEXTJOIN("|",TRUE,K10:M10))</f>
      </c>
      <c r="O10" t="s">
        <v>1022</v>
      </c>
    </row>
    <row r="11" spans="1:15" x14ac:dyDescent="0.25">
      <c r="A11" t="s">
        <v>1029</v>
      </c>
      <c r="B11" t="s">
        <v>1030</v>
      </c>
      <c r="C11" t="s">
        <v>12</v>
      </c>
      <c r="D11" t="s">
        <v>7</v>
      </c>
      <c r="E11" s="4">
        <v>13</v>
      </c>
      <c r="F11" s="5">
        <f>IF($E11="","",IFERROR(INDEX(PokemonRef!$C$2:$C$494,MATCH($E11,PokemonRef!$A$2:$A$494,0)),""))</f>
      </c>
      <c r="G11" s="5">
        <f>IF($E11="","",IFERROR(INDEX(PokemonRef!$B$2:$B$494,MATCH($E11,PokemonRef!$A$2:$A$494,0)),""))</f>
      </c>
      <c r="H11" s="4">
        <v>40</v>
      </c>
      <c r="I11" s="4">
        <v>3</v>
      </c>
      <c r="J11" s="4">
        <v>5</v>
      </c>
      <c r="K11" t="s">
        <v>8</v>
      </c>
      <c r="L11" t="s">
        <v>1022</v>
      </c>
      <c r="M11" t="s">
        <v>1022</v>
      </c>
      <c r="N11" s="5">
        <f>IF($E11="","",TEXTJOIN("|",TRUE,K11:M11))</f>
      </c>
      <c r="O11" t="s">
        <v>1022</v>
      </c>
    </row>
    <row r="12" spans="1:15" x14ac:dyDescent="0.25">
      <c r="A12" t="s">
        <v>1029</v>
      </c>
      <c r="B12" t="s">
        <v>1030</v>
      </c>
      <c r="C12" t="s">
        <v>12</v>
      </c>
      <c r="D12" t="s">
        <v>7</v>
      </c>
      <c r="E12" s="4">
        <v>11</v>
      </c>
      <c r="F12" s="5">
        <f>IF($E12="","",IFERROR(INDEX(PokemonRef!$C$2:$C$494,MATCH($E12,PokemonRef!$A$2:$A$494,0)),""))</f>
      </c>
      <c r="G12" s="5">
        <f>IF($E12="","",IFERROR(INDEX(PokemonRef!$B$2:$B$494,MATCH($E12,PokemonRef!$A$2:$A$494,0)),""))</f>
      </c>
      <c r="H12" s="4">
        <v>10</v>
      </c>
      <c r="I12" s="4">
        <v>4</v>
      </c>
      <c r="J12" s="4">
        <v>6</v>
      </c>
      <c r="K12" t="s">
        <v>8</v>
      </c>
      <c r="L12" t="s">
        <v>1022</v>
      </c>
      <c r="M12" t="s">
        <v>1022</v>
      </c>
      <c r="N12" s="5">
        <f>IF($E12="","",TEXTJOIN("|",TRUE,K12:M12))</f>
      </c>
      <c r="O12" t="s">
        <v>1022</v>
      </c>
    </row>
    <row r="13" spans="1:15" x14ac:dyDescent="0.25">
      <c r="A13" t="s">
        <v>1029</v>
      </c>
      <c r="B13" t="s">
        <v>1030</v>
      </c>
      <c r="C13" t="s">
        <v>12</v>
      </c>
      <c r="D13" t="s">
        <v>7</v>
      </c>
      <c r="E13" s="4">
        <v>14</v>
      </c>
      <c r="F13" s="5">
        <f>IF($E13="","",IFERROR(INDEX(PokemonRef!$C$2:$C$494,MATCH($E13,PokemonRef!$A$2:$A$494,0)),""))</f>
      </c>
      <c r="G13" s="5">
        <f>IF($E13="","",IFERROR(INDEX(PokemonRef!$B$2:$B$494,MATCH($E13,PokemonRef!$A$2:$A$494,0)),""))</f>
      </c>
      <c r="H13" s="4">
        <v>10</v>
      </c>
      <c r="I13" s="4">
        <v>4</v>
      </c>
      <c r="J13" s="4">
        <v>6</v>
      </c>
      <c r="K13" t="s">
        <v>8</v>
      </c>
      <c r="L13" t="s">
        <v>1022</v>
      </c>
      <c r="M13" t="s">
        <v>1022</v>
      </c>
      <c r="N13" s="5">
        <f>IF($E13="","",TEXTJOIN("|",TRUE,K13:M13))</f>
      </c>
      <c r="O13" t="s">
        <v>1022</v>
      </c>
    </row>
    <row r="14" spans="1:15" x14ac:dyDescent="0.25">
      <c r="A14" t="s">
        <v>1029</v>
      </c>
      <c r="B14" t="s">
        <v>1030</v>
      </c>
      <c r="C14" t="s">
        <v>12</v>
      </c>
      <c r="D14" t="s">
        <v>7</v>
      </c>
      <c r="E14" s="4">
        <v>25</v>
      </c>
      <c r="F14" s="5">
        <f>IF($E14="","",IFERROR(INDEX(PokemonRef!$C$2:$C$494,MATCH($E14,PokemonRef!$A$2:$A$494,0)),""))</f>
      </c>
      <c r="G14" s="5">
        <f>IF($E14="","",IFERROR(INDEX(PokemonRef!$B$2:$B$494,MATCH($E14,PokemonRef!$A$2:$A$494,0)),""))</f>
      </c>
      <c r="H14" s="4">
        <v>5</v>
      </c>
      <c r="I14" s="4">
        <v>3</v>
      </c>
      <c r="J14" s="4">
        <v>5</v>
      </c>
      <c r="K14" t="s">
        <v>8</v>
      </c>
      <c r="L14" t="s">
        <v>1022</v>
      </c>
      <c r="M14" t="s">
        <v>1022</v>
      </c>
      <c r="N14" s="5">
        <f>IF($E14="","",TEXTJOIN("|",TRUE,K14:M14))</f>
      </c>
      <c r="O14" t="s">
        <v>1022</v>
      </c>
    </row>
    <row r="15" spans="1:15" x14ac:dyDescent="0.25">
      <c r="A15" t="s">
        <v>1031</v>
      </c>
      <c r="B15" t="s">
        <v>1032</v>
      </c>
      <c r="C15" t="s">
        <v>1021</v>
      </c>
      <c r="D15" t="s">
        <v>10</v>
      </c>
      <c r="E15" s="4" t="s">
        <v>1022</v>
      </c>
      <c r="F15" s="5"/>
      <c r="G15" s="5"/>
      <c r="H15" s="4" t="s">
        <v>1022</v>
      </c>
      <c r="I15" s="4" t="s">
        <v>1022</v>
      </c>
      <c r="J15" s="4" t="s">
        <v>1022</v>
      </c>
      <c r="K15" t="s">
        <v>1022</v>
      </c>
      <c r="L15" t="s">
        <v>1022</v>
      </c>
      <c r="M15" t="s">
        <v>1022</v>
      </c>
      <c r="N15" s="5" t="s">
        <v>1022</v>
      </c>
      <c r="O15" t="s">
        <v>1022</v>
      </c>
    </row>
    <row r="16" spans="1:15" x14ac:dyDescent="0.25">
      <c r="A16" t="s">
        <v>1033</v>
      </c>
      <c r="B16" t="s">
        <v>1034</v>
      </c>
      <c r="C16" t="s">
        <v>6</v>
      </c>
      <c r="D16" t="s">
        <v>7</v>
      </c>
      <c r="E16" s="4">
        <v>129</v>
      </c>
      <c r="F16" s="5">
        <f>IF($E16="","",IFERROR(INDEX(PokemonRef!$C$2:$C$494,MATCH($E16,PokemonRef!$A$2:$A$494,0)),""))</f>
      </c>
      <c r="G16" s="5">
        <f>IF($E16="","",IFERROR(INDEX(PokemonRef!$B$2:$B$494,MATCH($E16,PokemonRef!$A$2:$A$494,0)),""))</f>
      </c>
      <c r="H16" s="4">
        <v>100</v>
      </c>
      <c r="I16" s="4">
        <v>5</v>
      </c>
      <c r="J16" s="4">
        <v>5</v>
      </c>
      <c r="K16" t="s">
        <v>16</v>
      </c>
      <c r="L16" t="s">
        <v>1022</v>
      </c>
      <c r="M16" t="s">
        <v>1022</v>
      </c>
      <c r="N16" s="5">
        <f>IF($E16="","",TEXTJOIN("|",TRUE,K16:M16))</f>
      </c>
      <c r="O16" t="s">
        <v>1022</v>
      </c>
    </row>
    <row r="17" spans="1:15" x14ac:dyDescent="0.25">
      <c r="A17" t="s">
        <v>1033</v>
      </c>
      <c r="B17" t="s">
        <v>1034</v>
      </c>
      <c r="C17" t="s">
        <v>6</v>
      </c>
      <c r="D17" t="s">
        <v>7</v>
      </c>
      <c r="E17" s="4">
        <v>21</v>
      </c>
      <c r="F17" s="5">
        <f>IF($E17="","",IFERROR(INDEX(PokemonRef!$C$2:$C$494,MATCH($E17,PokemonRef!$A$2:$A$494,0)),""))</f>
      </c>
      <c r="G17" s="5">
        <f>IF($E17="","",IFERROR(INDEX(PokemonRef!$B$2:$B$494,MATCH($E17,PokemonRef!$A$2:$A$494,0)),""))</f>
      </c>
      <c r="H17" s="4">
        <v>35</v>
      </c>
      <c r="I17" s="4">
        <v>6</v>
      </c>
      <c r="J17" s="4">
        <v>8</v>
      </c>
      <c r="K17" t="s">
        <v>8</v>
      </c>
      <c r="L17" t="s">
        <v>1022</v>
      </c>
      <c r="M17" t="s">
        <v>1022</v>
      </c>
      <c r="N17" s="5">
        <f>IF($E17="","",TEXTJOIN("|",TRUE,K17:M17))</f>
      </c>
      <c r="O17" t="s">
        <v>1022</v>
      </c>
    </row>
    <row r="18" spans="1:15" x14ac:dyDescent="0.25">
      <c r="A18" t="s">
        <v>1033</v>
      </c>
      <c r="B18" t="s">
        <v>1034</v>
      </c>
      <c r="C18" t="s">
        <v>6</v>
      </c>
      <c r="D18" t="s">
        <v>7</v>
      </c>
      <c r="E18" s="4">
        <v>16</v>
      </c>
      <c r="F18" s="5">
        <f>IF($E18="","",IFERROR(INDEX(PokemonRef!$C$2:$C$494,MATCH($E18,PokemonRef!$A$2:$A$494,0)),""))</f>
      </c>
      <c r="G18" s="5">
        <f>IF($E18="","",IFERROR(INDEX(PokemonRef!$B$2:$B$494,MATCH($E18,PokemonRef!$A$2:$A$494,0)),""))</f>
      </c>
      <c r="H18" s="4">
        <v>30</v>
      </c>
      <c r="I18" s="4">
        <v>6</v>
      </c>
      <c r="J18" s="4">
        <v>7</v>
      </c>
      <c r="K18" t="s">
        <v>8</v>
      </c>
      <c r="L18" t="s">
        <v>1022</v>
      </c>
      <c r="M18" t="s">
        <v>1022</v>
      </c>
      <c r="N18" s="5">
        <f>IF($E18="","",TEXTJOIN("|",TRUE,K18:M18))</f>
      </c>
      <c r="O18" t="s">
        <v>1022</v>
      </c>
    </row>
    <row r="19" spans="1:15" x14ac:dyDescent="0.25">
      <c r="A19" t="s">
        <v>1033</v>
      </c>
      <c r="B19" t="s">
        <v>1034</v>
      </c>
      <c r="C19" t="s">
        <v>6</v>
      </c>
      <c r="D19" t="s">
        <v>7</v>
      </c>
      <c r="E19" s="4">
        <v>29</v>
      </c>
      <c r="F19" s="5">
        <f>IF($E19="","",IFERROR(INDEX(PokemonRef!$C$2:$C$494,MATCH($E19,PokemonRef!$A$2:$A$494,0)),""))</f>
      </c>
      <c r="G19" s="5">
        <f>IF($E19="","",IFERROR(INDEX(PokemonRef!$B$2:$B$494,MATCH($E19,PokemonRef!$A$2:$A$494,0)),""))</f>
      </c>
      <c r="H19" s="4">
        <v>14</v>
      </c>
      <c r="I19" s="4">
        <v>6</v>
      </c>
      <c r="J19" s="4">
        <v>7</v>
      </c>
      <c r="K19" t="s">
        <v>8</v>
      </c>
      <c r="L19" t="s">
        <v>1022</v>
      </c>
      <c r="M19" t="s">
        <v>1022</v>
      </c>
      <c r="N19" s="5">
        <f>IF($E19="","",TEXTJOIN("|",TRUE,K19:M19))</f>
      </c>
      <c r="O19" t="s">
        <v>1022</v>
      </c>
    </row>
    <row r="20" spans="1:15" x14ac:dyDescent="0.25">
      <c r="A20" t="s">
        <v>1033</v>
      </c>
      <c r="B20" t="s">
        <v>1034</v>
      </c>
      <c r="C20" t="s">
        <v>6</v>
      </c>
      <c r="D20" t="s">
        <v>7</v>
      </c>
      <c r="E20" s="4">
        <v>32</v>
      </c>
      <c r="F20" s="5">
        <f>IF($E20="","",IFERROR(INDEX(PokemonRef!$C$2:$C$494,MATCH($E20,PokemonRef!$A$2:$A$494,0)),""))</f>
      </c>
      <c r="G20" s="5">
        <f>IF($E20="","",IFERROR(INDEX(PokemonRef!$B$2:$B$494,MATCH($E20,PokemonRef!$A$2:$A$494,0)),""))</f>
      </c>
      <c r="H20" s="4">
        <v>14</v>
      </c>
      <c r="I20" s="4">
        <v>6</v>
      </c>
      <c r="J20" s="4">
        <v>7</v>
      </c>
      <c r="K20" t="s">
        <v>8</v>
      </c>
      <c r="L20" t="s">
        <v>1022</v>
      </c>
      <c r="M20" t="s">
        <v>1022</v>
      </c>
      <c r="N20" s="5">
        <f>IF($E20="","",TEXTJOIN("|",TRUE,K20:M20))</f>
      </c>
      <c r="O20" t="s">
        <v>1022</v>
      </c>
    </row>
    <row r="21" spans="1:15" x14ac:dyDescent="0.25">
      <c r="A21" t="s">
        <v>1033</v>
      </c>
      <c r="B21" t="s">
        <v>1034</v>
      </c>
      <c r="C21" t="s">
        <v>6</v>
      </c>
      <c r="D21" t="s">
        <v>7</v>
      </c>
      <c r="E21" s="4">
        <v>39</v>
      </c>
      <c r="F21" s="5">
        <f>IF($E21="","",IFERROR(INDEX(PokemonRef!$C$2:$C$494,MATCH($E21,PokemonRef!$A$2:$A$494,0)),""))</f>
      </c>
      <c r="G21" s="5">
        <f>IF($E21="","",IFERROR(INDEX(PokemonRef!$B$2:$B$494,MATCH($E21,PokemonRef!$A$2:$A$494,0)),""))</f>
      </c>
      <c r="H21" s="4">
        <v>10</v>
      </c>
      <c r="I21" s="4">
        <v>3</v>
      </c>
      <c r="J21" s="4">
        <v>7</v>
      </c>
      <c r="K21" t="s">
        <v>8</v>
      </c>
      <c r="L21" t="s">
        <v>1022</v>
      </c>
      <c r="M21" t="s">
        <v>1022</v>
      </c>
      <c r="N21" s="5">
        <f>IF($E21="","",TEXTJOIN("|",TRUE,K21:M21))</f>
      </c>
      <c r="O21" t="s">
        <v>1022</v>
      </c>
    </row>
    <row r="22" spans="1:15" x14ac:dyDescent="0.25">
      <c r="A22" t="s">
        <v>1033</v>
      </c>
      <c r="B22" t="s">
        <v>1034</v>
      </c>
      <c r="C22" t="s">
        <v>6</v>
      </c>
      <c r="D22" t="s">
        <v>7</v>
      </c>
      <c r="E22" s="4">
        <v>56</v>
      </c>
      <c r="F22" s="5">
        <f>IF($E22="","",IFERROR(INDEX(PokemonRef!$C$2:$C$494,MATCH($E22,PokemonRef!$A$2:$A$494,0)),""))</f>
      </c>
      <c r="G22" s="5">
        <f>IF($E22="","",IFERROR(INDEX(PokemonRef!$B$2:$B$494,MATCH($E22,PokemonRef!$A$2:$A$494,0)),""))</f>
      </c>
      <c r="H22" s="4">
        <v>10</v>
      </c>
      <c r="I22" s="4">
        <v>7</v>
      </c>
      <c r="J22" s="4">
        <v>7</v>
      </c>
      <c r="K22" t="s">
        <v>8</v>
      </c>
      <c r="L22" t="s">
        <v>1022</v>
      </c>
      <c r="M22" t="s">
        <v>1022</v>
      </c>
      <c r="N22" s="5">
        <f>IF($E22="","",TEXTJOIN("|",TRUE,K22:M22))</f>
      </c>
      <c r="O22" t="s">
        <v>1022</v>
      </c>
    </row>
    <row r="23" spans="1:15" x14ac:dyDescent="0.25">
      <c r="A23" t="s">
        <v>1035</v>
      </c>
      <c r="B23" t="s">
        <v>1036</v>
      </c>
      <c r="C23" t="s">
        <v>12</v>
      </c>
      <c r="D23" t="s">
        <v>7</v>
      </c>
      <c r="E23" s="4">
        <v>46</v>
      </c>
      <c r="F23" s="5">
        <f>IF($E23="","",IFERROR(INDEX(PokemonRef!$C$2:$C$494,MATCH($E23,PokemonRef!$A$2:$A$494,0)),""))</f>
      </c>
      <c r="G23" s="5">
        <f>IF($E23="","",IFERROR(INDEX(PokemonRef!$B$2:$B$494,MATCH($E23,PokemonRef!$A$2:$A$494,0)),""))</f>
      </c>
      <c r="H23" s="4">
        <v>100</v>
      </c>
      <c r="I23" s="4">
        <v>5</v>
      </c>
      <c r="J23" s="4">
        <v>12</v>
      </c>
      <c r="K23" t="s">
        <v>8</v>
      </c>
      <c r="L23" t="s">
        <v>1022</v>
      </c>
      <c r="M23" t="s">
        <v>1022</v>
      </c>
      <c r="N23" s="5">
        <f>IF($E23="","",TEXTJOIN("|",TRUE,K23:M23))</f>
      </c>
      <c r="O23" t="s">
        <v>1022</v>
      </c>
    </row>
    <row r="24" spans="1:15" x14ac:dyDescent="0.25">
      <c r="A24" t="s">
        <v>1035</v>
      </c>
      <c r="B24" t="s">
        <v>1036</v>
      </c>
      <c r="C24" t="s">
        <v>12</v>
      </c>
      <c r="D24" t="s">
        <v>7</v>
      </c>
      <c r="E24" s="4">
        <v>41</v>
      </c>
      <c r="F24" s="5">
        <f>IF($E24="","",IFERROR(INDEX(PokemonRef!$C$2:$C$494,MATCH($E24,PokemonRef!$A$2:$A$494,0)),""))</f>
      </c>
      <c r="G24" s="5">
        <f>IF($E24="","",IFERROR(INDEX(PokemonRef!$B$2:$B$494,MATCH($E24,PokemonRef!$A$2:$A$494,0)),""))</f>
      </c>
      <c r="H24" s="4">
        <v>69</v>
      </c>
      <c r="I24" s="4">
        <v>7</v>
      </c>
      <c r="J24" s="4">
        <v>11</v>
      </c>
      <c r="K24" t="s">
        <v>8</v>
      </c>
      <c r="L24" t="s">
        <v>1022</v>
      </c>
      <c r="M24" t="s">
        <v>1022</v>
      </c>
      <c r="N24" s="5">
        <f>IF($E24="","",TEXTJOIN("|",TRUE,K24:M24))</f>
      </c>
      <c r="O24" t="s">
        <v>1022</v>
      </c>
    </row>
    <row r="25" spans="1:15" x14ac:dyDescent="0.25">
      <c r="A25" t="s">
        <v>1035</v>
      </c>
      <c r="B25" t="s">
        <v>1036</v>
      </c>
      <c r="C25" t="s">
        <v>12</v>
      </c>
      <c r="D25" t="s">
        <v>7</v>
      </c>
      <c r="E25" s="4">
        <v>74</v>
      </c>
      <c r="F25" s="5">
        <f>IF($E25="","",IFERROR(INDEX(PokemonRef!$C$2:$C$494,MATCH($E25,PokemonRef!$A$2:$A$494,0)),""))</f>
      </c>
      <c r="G25" s="5">
        <f>IF($E25="","",IFERROR(INDEX(PokemonRef!$B$2:$B$494,MATCH($E25,PokemonRef!$A$2:$A$494,0)),""))</f>
      </c>
      <c r="H25" s="4">
        <v>30</v>
      </c>
      <c r="I25" s="4">
        <v>7</v>
      </c>
      <c r="J25" s="4">
        <v>10</v>
      </c>
      <c r="K25" t="s">
        <v>8</v>
      </c>
      <c r="L25" t="s">
        <v>1022</v>
      </c>
      <c r="M25" t="s">
        <v>1022</v>
      </c>
      <c r="N25" s="5">
        <f>IF($E25="","",TEXTJOIN("|",TRUE,K25:M25))</f>
      </c>
      <c r="O25" t="s">
        <v>1022</v>
      </c>
    </row>
    <row r="26" spans="1:15" x14ac:dyDescent="0.25">
      <c r="A26" t="s">
        <v>1035</v>
      </c>
      <c r="B26" t="s">
        <v>1036</v>
      </c>
      <c r="C26" t="s">
        <v>12</v>
      </c>
      <c r="D26" t="s">
        <v>7</v>
      </c>
      <c r="E26" s="4">
        <v>35</v>
      </c>
      <c r="F26" s="5">
        <f>IF($E26="","",IFERROR(INDEX(PokemonRef!$C$2:$C$494,MATCH($E26,PokemonRef!$A$2:$A$494,0)),""))</f>
      </c>
      <c r="G26" s="5">
        <f>IF($E26="","",IFERROR(INDEX(PokemonRef!$B$2:$B$494,MATCH($E26,PokemonRef!$A$2:$A$494,0)),""))</f>
      </c>
      <c r="H26" s="4">
        <v>6</v>
      </c>
      <c r="I26" s="4">
        <v>8</v>
      </c>
      <c r="J26" s="4">
        <v>12</v>
      </c>
      <c r="K26" t="s">
        <v>8</v>
      </c>
      <c r="L26" t="s">
        <v>1022</v>
      </c>
      <c r="M26" t="s">
        <v>1022</v>
      </c>
      <c r="N26" s="5">
        <f>IF($E26="","",TEXTJOIN("|",TRUE,K26:M26))</f>
      </c>
      <c r="O26" t="s">
        <v>1022</v>
      </c>
    </row>
    <row r="27" spans="1:15" x14ac:dyDescent="0.25">
      <c r="A27" t="s">
        <v>1037</v>
      </c>
      <c r="B27" t="s">
        <v>1038</v>
      </c>
      <c r="C27" t="s">
        <v>6</v>
      </c>
      <c r="D27" t="s">
        <v>7</v>
      </c>
      <c r="E27" s="4">
        <v>98</v>
      </c>
      <c r="F27" s="5">
        <f>IF($E27="","",IFERROR(INDEX(PokemonRef!$C$2:$C$494,MATCH($E27,PokemonRef!$A$2:$A$494,0)),""))</f>
      </c>
      <c r="G27" s="5">
        <f>IF($E27="","",IFERROR(INDEX(PokemonRef!$B$2:$B$494,MATCH($E27,PokemonRef!$A$2:$A$494,0)),""))</f>
      </c>
      <c r="H27" s="4">
        <v>144</v>
      </c>
      <c r="I27" s="4">
        <v>5</v>
      </c>
      <c r="J27" s="4">
        <v>35</v>
      </c>
      <c r="K27" t="s">
        <v>14</v>
      </c>
      <c r="L27" t="s">
        <v>15</v>
      </c>
      <c r="M27" t="s">
        <v>1022</v>
      </c>
      <c r="N27" s="5">
        <f>IF($E27="","",TEXTJOIN("|",TRUE,K27:M27))</f>
      </c>
      <c r="O27" t="s">
        <v>1022</v>
      </c>
    </row>
    <row r="28" spans="1:15" x14ac:dyDescent="0.25">
      <c r="A28" t="s">
        <v>1037</v>
      </c>
      <c r="B28" t="s">
        <v>1038</v>
      </c>
      <c r="C28" t="s">
        <v>6</v>
      </c>
      <c r="D28" t="s">
        <v>7</v>
      </c>
      <c r="E28" s="4">
        <v>116</v>
      </c>
      <c r="F28" s="5">
        <f>IF($E28="","",IFERROR(INDEX(PokemonRef!$C$2:$C$494,MATCH($E28,PokemonRef!$A$2:$A$494,0)),""))</f>
      </c>
      <c r="G28" s="5">
        <f>IF($E28="","",IFERROR(INDEX(PokemonRef!$B$2:$B$494,MATCH($E28,PokemonRef!$A$2:$A$494,0)),""))</f>
      </c>
      <c r="H28" s="4">
        <v>144</v>
      </c>
      <c r="I28" s="4">
        <v>5</v>
      </c>
      <c r="J28" s="4">
        <v>35</v>
      </c>
      <c r="K28" t="s">
        <v>14</v>
      </c>
      <c r="L28" t="s">
        <v>15</v>
      </c>
      <c r="M28" t="s">
        <v>1022</v>
      </c>
      <c r="N28" s="5">
        <f>IF($E28="","",TEXTJOIN("|",TRUE,K28:M28))</f>
      </c>
      <c r="O28" t="s">
        <v>1022</v>
      </c>
    </row>
    <row r="29" spans="1:15" x14ac:dyDescent="0.25">
      <c r="A29" t="s">
        <v>1037</v>
      </c>
      <c r="B29" t="s">
        <v>1038</v>
      </c>
      <c r="C29" t="s">
        <v>6</v>
      </c>
      <c r="D29" t="s">
        <v>7</v>
      </c>
      <c r="E29" s="4">
        <v>129</v>
      </c>
      <c r="F29" s="5">
        <f>IF($E29="","",IFERROR(INDEX(PokemonRef!$C$2:$C$494,MATCH($E29,PokemonRef!$A$2:$A$494,0)),""))</f>
      </c>
      <c r="G29" s="5">
        <f>IF($E29="","",IFERROR(INDEX(PokemonRef!$B$2:$B$494,MATCH($E29,PokemonRef!$A$2:$A$494,0)),""))</f>
      </c>
      <c r="H29" s="4">
        <v>120</v>
      </c>
      <c r="I29" s="4">
        <v>5</v>
      </c>
      <c r="J29" s="4">
        <v>15</v>
      </c>
      <c r="K29" t="s">
        <v>16</v>
      </c>
      <c r="L29" t="s">
        <v>14</v>
      </c>
      <c r="M29" t="s">
        <v>13</v>
      </c>
      <c r="N29" s="5">
        <f>IF($E29="","",TEXTJOIN("|",TRUE,K29:M29))</f>
      </c>
      <c r="O29" t="s">
        <v>1022</v>
      </c>
    </row>
    <row r="30" spans="1:15" x14ac:dyDescent="0.25">
      <c r="A30" t="s">
        <v>1037</v>
      </c>
      <c r="B30" t="s">
        <v>1038</v>
      </c>
      <c r="C30" t="s">
        <v>6</v>
      </c>
      <c r="D30" t="s">
        <v>7</v>
      </c>
      <c r="E30" s="4">
        <v>72</v>
      </c>
      <c r="F30" s="5">
        <f>IF($E30="","",IFERROR(INDEX(PokemonRef!$C$2:$C$494,MATCH($E30,PokemonRef!$A$2:$A$494,0)),""))</f>
      </c>
      <c r="G30" s="5">
        <f>IF($E30="","",IFERROR(INDEX(PokemonRef!$B$2:$B$494,MATCH($E30,PokemonRef!$A$2:$A$494,0)),""))</f>
      </c>
      <c r="H30" s="4">
        <v>100</v>
      </c>
      <c r="I30" s="4">
        <v>5</v>
      </c>
      <c r="J30" s="4">
        <v>40</v>
      </c>
      <c r="K30" t="s">
        <v>11</v>
      </c>
      <c r="L30" t="s">
        <v>1022</v>
      </c>
      <c r="M30" t="s">
        <v>1022</v>
      </c>
      <c r="N30" s="5">
        <f>IF($E30="","",TEXTJOIN("|",TRUE,K30:M30))</f>
      </c>
      <c r="O30" t="s">
        <v>1022</v>
      </c>
    </row>
    <row r="31" spans="1:15" x14ac:dyDescent="0.25">
      <c r="A31" t="s">
        <v>1037</v>
      </c>
      <c r="B31" t="s">
        <v>1038</v>
      </c>
      <c r="C31" t="s">
        <v>6</v>
      </c>
      <c r="D31" t="s">
        <v>7</v>
      </c>
      <c r="E31" s="4">
        <v>19</v>
      </c>
      <c r="F31" s="5">
        <f>IF($E31="","",IFERROR(INDEX(PokemonRef!$C$2:$C$494,MATCH($E31,PokemonRef!$A$2:$A$494,0)),""))</f>
      </c>
      <c r="G31" s="5">
        <f>IF($E31="","",IFERROR(INDEX(PokemonRef!$B$2:$B$494,MATCH($E31,PokemonRef!$A$2:$A$494,0)),""))</f>
      </c>
      <c r="H31" s="4">
        <v>35</v>
      </c>
      <c r="I31" s="4">
        <v>8</v>
      </c>
      <c r="J31" s="4">
        <v>12</v>
      </c>
      <c r="K31" t="s">
        <v>8</v>
      </c>
      <c r="L31" t="s">
        <v>1022</v>
      </c>
      <c r="M31" t="s">
        <v>1022</v>
      </c>
      <c r="N31" s="5">
        <f>IF($E31="","",TEXTJOIN("|",TRUE,K31:M31))</f>
      </c>
      <c r="O31" t="s">
        <v>1022</v>
      </c>
    </row>
    <row r="32" spans="1:15" x14ac:dyDescent="0.25">
      <c r="A32" t="s">
        <v>1037</v>
      </c>
      <c r="B32" t="s">
        <v>1038</v>
      </c>
      <c r="C32" t="s">
        <v>6</v>
      </c>
      <c r="D32" t="s">
        <v>7</v>
      </c>
      <c r="E32" s="4">
        <v>21</v>
      </c>
      <c r="F32" s="5">
        <f>IF($E32="","",IFERROR(INDEX(PokemonRef!$C$2:$C$494,MATCH($E32,PokemonRef!$A$2:$A$494,0)),""))</f>
      </c>
      <c r="G32" s="5">
        <f>IF($E32="","",IFERROR(INDEX(PokemonRef!$B$2:$B$494,MATCH($E32,PokemonRef!$A$2:$A$494,0)),""))</f>
      </c>
      <c r="H32" s="4">
        <v>35</v>
      </c>
      <c r="I32" s="4">
        <v>8</v>
      </c>
      <c r="J32" s="4">
        <v>12</v>
      </c>
      <c r="K32" t="s">
        <v>8</v>
      </c>
      <c r="L32" t="s">
        <v>1022</v>
      </c>
      <c r="M32" t="s">
        <v>1022</v>
      </c>
      <c r="N32" s="5">
        <f>IF($E32="","",TEXTJOIN("|",TRUE,K32:M32))</f>
      </c>
      <c r="O32" t="s">
        <v>1022</v>
      </c>
    </row>
    <row r="33" spans="1:15" x14ac:dyDescent="0.25">
      <c r="A33" t="s">
        <v>1037</v>
      </c>
      <c r="B33" t="s">
        <v>1038</v>
      </c>
      <c r="C33" t="s">
        <v>6</v>
      </c>
      <c r="D33" t="s">
        <v>7</v>
      </c>
      <c r="E33" s="4">
        <v>23</v>
      </c>
      <c r="F33" s="5">
        <f>IF($E33="","",IFERROR(INDEX(PokemonRef!$C$2:$C$494,MATCH($E33,PokemonRef!$A$2:$A$494,0)),""))</f>
      </c>
      <c r="G33" s="5">
        <f>IF($E33="","",IFERROR(INDEX(PokemonRef!$B$2:$B$494,MATCH($E33,PokemonRef!$A$2:$A$494,0)),""))</f>
      </c>
      <c r="H33" s="4">
        <v>25</v>
      </c>
      <c r="I33" s="4">
        <v>6</v>
      </c>
      <c r="J33" s="4">
        <v>12</v>
      </c>
      <c r="K33" t="s">
        <v>8</v>
      </c>
      <c r="L33" t="s">
        <v>1022</v>
      </c>
      <c r="M33" t="s">
        <v>1022</v>
      </c>
      <c r="N33" s="5">
        <f>IF($E33="","",TEXTJOIN("|",TRUE,K33:M33))</f>
      </c>
      <c r="O33" t="s">
        <v>1022</v>
      </c>
    </row>
    <row r="34" spans="1:15" x14ac:dyDescent="0.25">
      <c r="A34" t="s">
        <v>1037</v>
      </c>
      <c r="B34" t="s">
        <v>1038</v>
      </c>
      <c r="C34" t="s">
        <v>6</v>
      </c>
      <c r="D34" t="s">
        <v>7</v>
      </c>
      <c r="E34" s="4">
        <v>27</v>
      </c>
      <c r="F34" s="5">
        <f>IF($E34="","",IFERROR(INDEX(PokemonRef!$C$2:$C$494,MATCH($E34,PokemonRef!$A$2:$A$494,0)),""))</f>
      </c>
      <c r="G34" s="5">
        <f>IF($E34="","",IFERROR(INDEX(PokemonRef!$B$2:$B$494,MATCH($E34,PokemonRef!$A$2:$A$494,0)),""))</f>
      </c>
      <c r="H34" s="4">
        <v>25</v>
      </c>
      <c r="I34" s="4">
        <v>6</v>
      </c>
      <c r="J34" s="4">
        <v>12</v>
      </c>
      <c r="K34" t="s">
        <v>8</v>
      </c>
      <c r="L34" t="s">
        <v>1022</v>
      </c>
      <c r="M34" t="s">
        <v>1022</v>
      </c>
      <c r="N34" s="5">
        <f>IF($E34="","",TEXTJOIN("|",TRUE,K34:M34))</f>
      </c>
      <c r="O34" t="s">
        <v>1022</v>
      </c>
    </row>
    <row r="35" spans="1:15" x14ac:dyDescent="0.25">
      <c r="A35" t="s">
        <v>1037</v>
      </c>
      <c r="B35" t="s">
        <v>1038</v>
      </c>
      <c r="C35" t="s">
        <v>6</v>
      </c>
      <c r="D35" t="s">
        <v>7</v>
      </c>
      <c r="E35" s="4">
        <v>130</v>
      </c>
      <c r="F35" s="5">
        <f>IF($E35="","",IFERROR(INDEX(PokemonRef!$C$2:$C$494,MATCH($E35,PokemonRef!$A$2:$A$494,0)),""))</f>
      </c>
      <c r="G35" s="5">
        <f>IF($E35="","",IFERROR(INDEX(PokemonRef!$B$2:$B$494,MATCH($E35,PokemonRef!$A$2:$A$494,0)),""))</f>
      </c>
      <c r="H35" s="4">
        <v>15</v>
      </c>
      <c r="I35" s="4">
        <v>15</v>
      </c>
      <c r="J35" s="4">
        <v>25</v>
      </c>
      <c r="K35" t="s">
        <v>15</v>
      </c>
      <c r="L35" t="s">
        <v>1022</v>
      </c>
      <c r="M35" t="s">
        <v>1022</v>
      </c>
      <c r="N35" s="5">
        <f>IF($E35="","",TEXTJOIN("|",TRUE,K35:M35))</f>
      </c>
      <c r="O35" t="s">
        <v>1022</v>
      </c>
    </row>
    <row r="36" spans="1:15" x14ac:dyDescent="0.25">
      <c r="A36" t="s">
        <v>1037</v>
      </c>
      <c r="B36" t="s">
        <v>1038</v>
      </c>
      <c r="C36" t="s">
        <v>6</v>
      </c>
      <c r="D36" t="s">
        <v>7</v>
      </c>
      <c r="E36" s="4">
        <v>56</v>
      </c>
      <c r="F36" s="5">
        <f>IF($E36="","",IFERROR(INDEX(PokemonRef!$C$2:$C$494,MATCH($E36,PokemonRef!$A$2:$A$494,0)),""))</f>
      </c>
      <c r="G36" s="5">
        <f>IF($E36="","",IFERROR(INDEX(PokemonRef!$B$2:$B$494,MATCH($E36,PokemonRef!$A$2:$A$494,0)),""))</f>
      </c>
      <c r="H36" s="4">
        <v>5</v>
      </c>
      <c r="I36" s="4">
        <v>10</v>
      </c>
      <c r="J36" s="4">
        <v>12</v>
      </c>
      <c r="K36" t="s">
        <v>8</v>
      </c>
      <c r="L36" t="s">
        <v>1022</v>
      </c>
      <c r="M36" t="s">
        <v>1022</v>
      </c>
      <c r="N36" s="5">
        <f>IF($E36="","",TEXTJOIN("|",TRUE,K36:M36))</f>
      </c>
      <c r="O36" t="s">
        <v>1022</v>
      </c>
    </row>
    <row r="37" spans="1:15" x14ac:dyDescent="0.25">
      <c r="A37" t="s">
        <v>1037</v>
      </c>
      <c r="B37" t="s">
        <v>1038</v>
      </c>
      <c r="C37" t="s">
        <v>6</v>
      </c>
      <c r="D37" t="s">
        <v>7</v>
      </c>
      <c r="E37" s="4">
        <v>54</v>
      </c>
      <c r="F37" s="5">
        <f>IF($E37="","",IFERROR(INDEX(PokemonRef!$C$2:$C$494,MATCH($E37,PokemonRef!$A$2:$A$494,0)),""))</f>
      </c>
      <c r="G37" s="5">
        <f>IF($E37="","",IFERROR(INDEX(PokemonRef!$B$2:$B$494,MATCH($E37,PokemonRef!$A$2:$A$494,0)),""))</f>
      </c>
      <c r="H37" s="4">
        <v>1</v>
      </c>
      <c r="I37" s="4">
        <v>25</v>
      </c>
      <c r="J37" s="4">
        <v>35</v>
      </c>
      <c r="K37" t="s">
        <v>15</v>
      </c>
      <c r="L37" t="s">
        <v>1022</v>
      </c>
      <c r="M37" t="s">
        <v>1022</v>
      </c>
      <c r="N37" s="5">
        <f>IF($E37="","",TEXTJOIN("|",TRUE,K37:M37))</f>
      </c>
      <c r="O37" t="s">
        <v>1022</v>
      </c>
    </row>
    <row r="38" spans="1:15" x14ac:dyDescent="0.25">
      <c r="A38" t="s">
        <v>1037</v>
      </c>
      <c r="B38" t="s">
        <v>1038</v>
      </c>
      <c r="C38" t="s">
        <v>6</v>
      </c>
      <c r="D38" t="s">
        <v>7</v>
      </c>
      <c r="E38" s="4">
        <v>79</v>
      </c>
      <c r="F38" s="5">
        <f>IF($E38="","",IFERROR(INDEX(PokemonRef!$C$2:$C$494,MATCH($E38,PokemonRef!$A$2:$A$494,0)),""))</f>
      </c>
      <c r="G38" s="5">
        <f>IF($E38="","",IFERROR(INDEX(PokemonRef!$B$2:$B$494,MATCH($E38,PokemonRef!$A$2:$A$494,0)),""))</f>
      </c>
      <c r="H38" s="4">
        <v>1</v>
      </c>
      <c r="I38" s="4">
        <v>25</v>
      </c>
      <c r="J38" s="4">
        <v>35</v>
      </c>
      <c r="K38" t="s">
        <v>15</v>
      </c>
      <c r="L38" t="s">
        <v>1022</v>
      </c>
      <c r="M38" t="s">
        <v>1022</v>
      </c>
      <c r="N38" s="5">
        <f>IF($E38="","",TEXTJOIN("|",TRUE,K38:M38))</f>
      </c>
      <c r="O38" t="s">
        <v>1022</v>
      </c>
    </row>
    <row r="39" spans="1:15" x14ac:dyDescent="0.25">
      <c r="A39" t="s">
        <v>1039</v>
      </c>
      <c r="B39" t="s">
        <v>1040</v>
      </c>
      <c r="C39" t="s">
        <v>1021</v>
      </c>
      <c r="D39" t="s">
        <v>10</v>
      </c>
      <c r="E39" s="4" t="s">
        <v>1022</v>
      </c>
      <c r="F39" s="5"/>
      <c r="G39" s="5"/>
      <c r="H39" s="4" t="s">
        <v>1022</v>
      </c>
      <c r="I39" s="4" t="s">
        <v>1022</v>
      </c>
      <c r="J39" s="4" t="s">
        <v>1022</v>
      </c>
      <c r="K39" t="s">
        <v>1022</v>
      </c>
      <c r="L39" t="s">
        <v>1022</v>
      </c>
      <c r="M39" t="s">
        <v>1022</v>
      </c>
      <c r="N39" s="5" t="s">
        <v>1022</v>
      </c>
      <c r="O39" t="s">
        <v>1022</v>
      </c>
    </row>
    <row r="40" spans="1:15" x14ac:dyDescent="0.25">
      <c r="A40" t="s">
        <v>1041</v>
      </c>
      <c r="B40" t="s">
        <v>1042</v>
      </c>
      <c r="C40" t="s">
        <v>6</v>
      </c>
      <c r="D40" t="s">
        <v>7</v>
      </c>
      <c r="E40" s="4">
        <v>98</v>
      </c>
      <c r="F40" s="5">
        <f>IF($E40="","",IFERROR(INDEX(PokemonRef!$C$2:$C$494,MATCH($E40,PokemonRef!$A$2:$A$494,0)),""))</f>
      </c>
      <c r="G40" s="5">
        <f>IF($E40="","",IFERROR(INDEX(PokemonRef!$B$2:$B$494,MATCH($E40,PokemonRef!$A$2:$A$494,0)),""))</f>
      </c>
      <c r="H40" s="4">
        <v>144</v>
      </c>
      <c r="I40" s="4">
        <v>5</v>
      </c>
      <c r="J40" s="4">
        <v>35</v>
      </c>
      <c r="K40" t="s">
        <v>14</v>
      </c>
      <c r="L40" t="s">
        <v>15</v>
      </c>
      <c r="M40" t="s">
        <v>1022</v>
      </c>
      <c r="N40" s="5">
        <f>IF($E40="","",TEXTJOIN("|",TRUE,K40:M40))</f>
      </c>
      <c r="O40" t="s">
        <v>1022</v>
      </c>
    </row>
    <row r="41" spans="1:15" x14ac:dyDescent="0.25">
      <c r="A41" t="s">
        <v>1041</v>
      </c>
      <c r="B41" t="s">
        <v>1042</v>
      </c>
      <c r="C41" t="s">
        <v>6</v>
      </c>
      <c r="D41" t="s">
        <v>7</v>
      </c>
      <c r="E41" s="4">
        <v>116</v>
      </c>
      <c r="F41" s="5">
        <f>IF($E41="","",IFERROR(INDEX(PokemonRef!$C$2:$C$494,MATCH($E41,PokemonRef!$A$2:$A$494,0)),""))</f>
      </c>
      <c r="G41" s="5">
        <f>IF($E41="","",IFERROR(INDEX(PokemonRef!$B$2:$B$494,MATCH($E41,PokemonRef!$A$2:$A$494,0)),""))</f>
      </c>
      <c r="H41" s="4">
        <v>144</v>
      </c>
      <c r="I41" s="4">
        <v>5</v>
      </c>
      <c r="J41" s="4">
        <v>35</v>
      </c>
      <c r="K41" t="s">
        <v>14</v>
      </c>
      <c r="L41" t="s">
        <v>15</v>
      </c>
      <c r="M41" t="s">
        <v>1022</v>
      </c>
      <c r="N41" s="5">
        <f>IF($E41="","",TEXTJOIN("|",TRUE,K41:M41))</f>
      </c>
      <c r="O41" t="s">
        <v>1022</v>
      </c>
    </row>
    <row r="42" spans="1:15" x14ac:dyDescent="0.25">
      <c r="A42" t="s">
        <v>1041</v>
      </c>
      <c r="B42" t="s">
        <v>1042</v>
      </c>
      <c r="C42" t="s">
        <v>6</v>
      </c>
      <c r="D42" t="s">
        <v>7</v>
      </c>
      <c r="E42" s="4">
        <v>129</v>
      </c>
      <c r="F42" s="5">
        <f>IF($E42="","",IFERROR(INDEX(PokemonRef!$C$2:$C$494,MATCH($E42,PokemonRef!$A$2:$A$494,0)),""))</f>
      </c>
      <c r="G42" s="5">
        <f>IF($E42="","",IFERROR(INDEX(PokemonRef!$B$2:$B$494,MATCH($E42,PokemonRef!$A$2:$A$494,0)),""))</f>
      </c>
      <c r="H42" s="4">
        <v>120</v>
      </c>
      <c r="I42" s="4">
        <v>5</v>
      </c>
      <c r="J42" s="4">
        <v>15</v>
      </c>
      <c r="K42" t="s">
        <v>14</v>
      </c>
      <c r="L42" t="s">
        <v>13</v>
      </c>
      <c r="M42" t="s">
        <v>1022</v>
      </c>
      <c r="N42" s="5">
        <f>IF($E42="","",TEXTJOIN("|",TRUE,K42:M42))</f>
      </c>
      <c r="O42" t="s">
        <v>1022</v>
      </c>
    </row>
    <row r="43" spans="1:15" x14ac:dyDescent="0.25">
      <c r="A43" t="s">
        <v>1041</v>
      </c>
      <c r="B43" t="s">
        <v>1042</v>
      </c>
      <c r="C43" t="s">
        <v>6</v>
      </c>
      <c r="D43" t="s">
        <v>7</v>
      </c>
      <c r="E43" s="4">
        <v>72</v>
      </c>
      <c r="F43" s="5">
        <f>IF($E43="","",IFERROR(INDEX(PokemonRef!$C$2:$C$494,MATCH($E43,PokemonRef!$A$2:$A$494,0)),""))</f>
      </c>
      <c r="G43" s="5">
        <f>IF($E43="","",IFERROR(INDEX(PokemonRef!$B$2:$B$494,MATCH($E43,PokemonRef!$A$2:$A$494,0)),""))</f>
      </c>
      <c r="H43" s="4">
        <v>100</v>
      </c>
      <c r="I43" s="4">
        <v>5</v>
      </c>
      <c r="J43" s="4">
        <v>40</v>
      </c>
      <c r="K43" t="s">
        <v>11</v>
      </c>
      <c r="L43" t="s">
        <v>1022</v>
      </c>
      <c r="M43" t="s">
        <v>1022</v>
      </c>
      <c r="N43" s="5">
        <f>IF($E43="","",TEXTJOIN("|",TRUE,K43:M43))</f>
      </c>
      <c r="O43" t="s">
        <v>1022</v>
      </c>
    </row>
    <row r="44" spans="1:15" x14ac:dyDescent="0.25">
      <c r="A44" t="s">
        <v>1041</v>
      </c>
      <c r="B44" t="s">
        <v>1042</v>
      </c>
      <c r="C44" t="s">
        <v>6</v>
      </c>
      <c r="D44" t="s">
        <v>7</v>
      </c>
      <c r="E44" s="4">
        <v>43</v>
      </c>
      <c r="F44" s="5">
        <f>IF($E44="","",IFERROR(INDEX(PokemonRef!$C$2:$C$494,MATCH($E44,PokemonRef!$A$2:$A$494,0)),""))</f>
      </c>
      <c r="G44" s="5">
        <f>IF($E44="","",IFERROR(INDEX(PokemonRef!$B$2:$B$494,MATCH($E44,PokemonRef!$A$2:$A$494,0)),""))</f>
      </c>
      <c r="H44" s="4">
        <v>25</v>
      </c>
      <c r="I44" s="4">
        <v>12</v>
      </c>
      <c r="J44" s="4">
        <v>14</v>
      </c>
      <c r="K44" t="s">
        <v>8</v>
      </c>
      <c r="L44" t="s">
        <v>1022</v>
      </c>
      <c r="M44" t="s">
        <v>1022</v>
      </c>
      <c r="N44" s="5">
        <f>IF($E44="","",TEXTJOIN("|",TRUE,K44:M44))</f>
      </c>
      <c r="O44" t="s">
        <v>1022</v>
      </c>
    </row>
    <row r="45" spans="1:15" x14ac:dyDescent="0.25">
      <c r="A45" t="s">
        <v>1041</v>
      </c>
      <c r="B45" t="s">
        <v>1042</v>
      </c>
      <c r="C45" t="s">
        <v>6</v>
      </c>
      <c r="D45" t="s">
        <v>7</v>
      </c>
      <c r="E45" s="4">
        <v>69</v>
      </c>
      <c r="F45" s="5">
        <f>IF($E45="","",IFERROR(INDEX(PokemonRef!$C$2:$C$494,MATCH($E45,PokemonRef!$A$2:$A$494,0)),""))</f>
      </c>
      <c r="G45" s="5">
        <f>IF($E45="","",IFERROR(INDEX(PokemonRef!$B$2:$B$494,MATCH($E45,PokemonRef!$A$2:$A$494,0)),""))</f>
      </c>
      <c r="H45" s="4">
        <v>25</v>
      </c>
      <c r="I45" s="4">
        <v>12</v>
      </c>
      <c r="J45" s="4">
        <v>14</v>
      </c>
      <c r="K45" t="s">
        <v>8</v>
      </c>
      <c r="L45" t="s">
        <v>1022</v>
      </c>
      <c r="M45" t="s">
        <v>1022</v>
      </c>
      <c r="N45" s="5">
        <f>IF($E45="","",TEXTJOIN("|",TRUE,K45:M45))</f>
      </c>
      <c r="O45" t="s">
        <v>1022</v>
      </c>
    </row>
    <row r="46" spans="1:15" x14ac:dyDescent="0.25">
      <c r="A46" t="s">
        <v>1041</v>
      </c>
      <c r="B46" t="s">
        <v>1042</v>
      </c>
      <c r="C46" t="s">
        <v>6</v>
      </c>
      <c r="D46" t="s">
        <v>7</v>
      </c>
      <c r="E46" s="4">
        <v>10</v>
      </c>
      <c r="F46" s="5">
        <f>IF($E46="","",IFERROR(INDEX(PokemonRef!$C$2:$C$494,MATCH($E46,PokemonRef!$A$2:$A$494,0)),""))</f>
      </c>
      <c r="G46" s="5">
        <f>IF($E46="","",IFERROR(INDEX(PokemonRef!$B$2:$B$494,MATCH($E46,PokemonRef!$A$2:$A$494,0)),""))</f>
      </c>
      <c r="H46" s="4">
        <v>20</v>
      </c>
      <c r="I46" s="4">
        <v>7</v>
      </c>
      <c r="J46" s="4">
        <v>7</v>
      </c>
      <c r="K46" t="s">
        <v>8</v>
      </c>
      <c r="L46" t="s">
        <v>1022</v>
      </c>
      <c r="M46" t="s">
        <v>1022</v>
      </c>
      <c r="N46" s="5">
        <f>IF($E46="","",TEXTJOIN("|",TRUE,K46:M46))</f>
      </c>
      <c r="O46" t="s">
        <v>1022</v>
      </c>
    </row>
    <row r="47" spans="1:15" x14ac:dyDescent="0.25">
      <c r="A47" t="s">
        <v>1041</v>
      </c>
      <c r="B47" t="s">
        <v>1042</v>
      </c>
      <c r="C47" t="s">
        <v>6</v>
      </c>
      <c r="D47" t="s">
        <v>7</v>
      </c>
      <c r="E47" s="4">
        <v>13</v>
      </c>
      <c r="F47" s="5">
        <f>IF($E47="","",IFERROR(INDEX(PokemonRef!$C$2:$C$494,MATCH($E47,PokemonRef!$A$2:$A$494,0)),""))</f>
      </c>
      <c r="G47" s="5">
        <f>IF($E47="","",IFERROR(INDEX(PokemonRef!$B$2:$B$494,MATCH($E47,PokemonRef!$A$2:$A$494,0)),""))</f>
      </c>
      <c r="H47" s="4">
        <v>20</v>
      </c>
      <c r="I47" s="4">
        <v>7</v>
      </c>
      <c r="J47" s="4">
        <v>7</v>
      </c>
      <c r="K47" t="s">
        <v>8</v>
      </c>
      <c r="L47" t="s">
        <v>1022</v>
      </c>
      <c r="M47" t="s">
        <v>1022</v>
      </c>
      <c r="N47" s="5">
        <f>IF($E47="","",TEXTJOIN("|",TRUE,K47:M47))</f>
      </c>
      <c r="O47" t="s">
        <v>1022</v>
      </c>
    </row>
    <row r="48" spans="1:15" x14ac:dyDescent="0.25">
      <c r="A48" t="s">
        <v>1041</v>
      </c>
      <c r="B48" t="s">
        <v>1042</v>
      </c>
      <c r="C48" t="s">
        <v>6</v>
      </c>
      <c r="D48" t="s">
        <v>7</v>
      </c>
      <c r="E48" s="4">
        <v>16</v>
      </c>
      <c r="F48" s="5">
        <f>IF($E48="","",IFERROR(INDEX(PokemonRef!$C$2:$C$494,MATCH($E48,PokemonRef!$A$2:$A$494,0)),""))</f>
      </c>
      <c r="G48" s="5">
        <f>IF($E48="","",IFERROR(INDEX(PokemonRef!$B$2:$B$494,MATCH($E48,PokemonRef!$A$2:$A$494,0)),""))</f>
      </c>
      <c r="H48" s="4">
        <v>15</v>
      </c>
      <c r="I48" s="4">
        <v>11</v>
      </c>
      <c r="J48" s="4">
        <v>13</v>
      </c>
      <c r="K48" t="s">
        <v>8</v>
      </c>
      <c r="L48" t="s">
        <v>1022</v>
      </c>
      <c r="M48" t="s">
        <v>1022</v>
      </c>
      <c r="N48" s="5">
        <f>IF($E48="","",TEXTJOIN("|",TRUE,K48:M48))</f>
      </c>
      <c r="O48" t="s">
        <v>1022</v>
      </c>
    </row>
    <row r="49" spans="1:15" x14ac:dyDescent="0.25">
      <c r="A49" t="s">
        <v>1041</v>
      </c>
      <c r="B49" t="s">
        <v>1042</v>
      </c>
      <c r="C49" t="s">
        <v>6</v>
      </c>
      <c r="D49" t="s">
        <v>7</v>
      </c>
      <c r="E49" s="4">
        <v>63</v>
      </c>
      <c r="F49" s="5">
        <f>IF($E49="","",IFERROR(INDEX(PokemonRef!$C$2:$C$494,MATCH($E49,PokemonRef!$A$2:$A$494,0)),""))</f>
      </c>
      <c r="G49" s="5">
        <f>IF($E49="","",IFERROR(INDEX(PokemonRef!$B$2:$B$494,MATCH($E49,PokemonRef!$A$2:$A$494,0)),""))</f>
      </c>
      <c r="H49" s="4">
        <v>15</v>
      </c>
      <c r="I49" s="4">
        <v>8</v>
      </c>
      <c r="J49" s="4">
        <v>12</v>
      </c>
      <c r="K49" t="s">
        <v>8</v>
      </c>
      <c r="L49" t="s">
        <v>1022</v>
      </c>
      <c r="M49" t="s">
        <v>1022</v>
      </c>
      <c r="N49" s="5">
        <f>IF($E49="","",TEXTJOIN("|",TRUE,K49:M49))</f>
      </c>
      <c r="O49" t="s">
        <v>1022</v>
      </c>
    </row>
    <row r="50" spans="1:15" x14ac:dyDescent="0.25">
      <c r="A50" t="s">
        <v>1041</v>
      </c>
      <c r="B50" t="s">
        <v>1042</v>
      </c>
      <c r="C50" t="s">
        <v>6</v>
      </c>
      <c r="D50" t="s">
        <v>7</v>
      </c>
      <c r="E50" s="4">
        <v>130</v>
      </c>
      <c r="F50" s="5">
        <f>IF($E50="","",IFERROR(INDEX(PokemonRef!$C$2:$C$494,MATCH($E50,PokemonRef!$A$2:$A$494,0)),""))</f>
      </c>
      <c r="G50" s="5">
        <f>IF($E50="","",IFERROR(INDEX(PokemonRef!$B$2:$B$494,MATCH($E50,PokemonRef!$A$2:$A$494,0)),""))</f>
      </c>
      <c r="H50" s="4">
        <v>15</v>
      </c>
      <c r="I50" s="4">
        <v>15</v>
      </c>
      <c r="J50" s="4">
        <v>25</v>
      </c>
      <c r="K50" t="s">
        <v>15</v>
      </c>
      <c r="L50" t="s">
        <v>1022</v>
      </c>
      <c r="M50" t="s">
        <v>1022</v>
      </c>
      <c r="N50" s="5">
        <f>IF($E50="","",TEXTJOIN("|",TRUE,K50:M50))</f>
      </c>
      <c r="O50" t="s">
        <v>1022</v>
      </c>
    </row>
    <row r="51" spans="1:15" x14ac:dyDescent="0.25">
      <c r="A51" t="s">
        <v>1041</v>
      </c>
      <c r="B51" t="s">
        <v>1042</v>
      </c>
      <c r="C51" t="s">
        <v>6</v>
      </c>
      <c r="D51" t="s">
        <v>7</v>
      </c>
      <c r="E51" s="4">
        <v>11</v>
      </c>
      <c r="F51" s="5">
        <f>IF($E51="","",IFERROR(INDEX(PokemonRef!$C$2:$C$494,MATCH($E51,PokemonRef!$A$2:$A$494,0)),""))</f>
      </c>
      <c r="G51" s="5">
        <f>IF($E51="","",IFERROR(INDEX(PokemonRef!$B$2:$B$494,MATCH($E51,PokemonRef!$A$2:$A$494,0)),""))</f>
      </c>
      <c r="H51" s="4">
        <v>4</v>
      </c>
      <c r="I51" s="4">
        <v>8</v>
      </c>
      <c r="J51" s="4">
        <v>8</v>
      </c>
      <c r="K51" t="s">
        <v>8</v>
      </c>
      <c r="L51" t="s">
        <v>1022</v>
      </c>
      <c r="M51" t="s">
        <v>1022</v>
      </c>
      <c r="N51" s="5">
        <f>IF($E51="","",TEXTJOIN("|",TRUE,K51:M51))</f>
      </c>
      <c r="O51" t="s">
        <v>1022</v>
      </c>
    </row>
    <row r="52" spans="1:15" x14ac:dyDescent="0.25">
      <c r="A52" t="s">
        <v>1041</v>
      </c>
      <c r="B52" t="s">
        <v>1042</v>
      </c>
      <c r="C52" t="s">
        <v>6</v>
      </c>
      <c r="D52" t="s">
        <v>7</v>
      </c>
      <c r="E52" s="4">
        <v>14</v>
      </c>
      <c r="F52" s="5">
        <f>IF($E52="","",IFERROR(INDEX(PokemonRef!$C$2:$C$494,MATCH($E52,PokemonRef!$A$2:$A$494,0)),""))</f>
      </c>
      <c r="G52" s="5">
        <f>IF($E52="","",IFERROR(INDEX(PokemonRef!$B$2:$B$494,MATCH($E52,PokemonRef!$A$2:$A$494,0)),""))</f>
      </c>
      <c r="H52" s="4">
        <v>4</v>
      </c>
      <c r="I52" s="4">
        <v>8</v>
      </c>
      <c r="J52" s="4">
        <v>8</v>
      </c>
      <c r="K52" t="s">
        <v>8</v>
      </c>
      <c r="L52" t="s">
        <v>1022</v>
      </c>
      <c r="M52" t="s">
        <v>1022</v>
      </c>
      <c r="N52" s="5">
        <f>IF($E52="","",TEXTJOIN("|",TRUE,K52:M52))</f>
      </c>
      <c r="O52" t="s">
        <v>1022</v>
      </c>
    </row>
    <row r="53" spans="1:15" x14ac:dyDescent="0.25">
      <c r="A53" t="s">
        <v>1041</v>
      </c>
      <c r="B53" t="s">
        <v>1042</v>
      </c>
      <c r="C53" t="s">
        <v>6</v>
      </c>
      <c r="D53" t="s">
        <v>7</v>
      </c>
      <c r="E53" s="4">
        <v>54</v>
      </c>
      <c r="F53" s="5">
        <f>IF($E53="","",IFERROR(INDEX(PokemonRef!$C$2:$C$494,MATCH($E53,PokemonRef!$A$2:$A$494,0)),""))</f>
      </c>
      <c r="G53" s="5">
        <f>IF($E53="","",IFERROR(INDEX(PokemonRef!$B$2:$B$494,MATCH($E53,PokemonRef!$A$2:$A$494,0)),""))</f>
      </c>
      <c r="H53" s="4">
        <v>1</v>
      </c>
      <c r="I53" s="4">
        <v>25</v>
      </c>
      <c r="J53" s="4">
        <v>35</v>
      </c>
      <c r="K53" t="s">
        <v>15</v>
      </c>
      <c r="L53" t="s">
        <v>1022</v>
      </c>
      <c r="M53" t="s">
        <v>1022</v>
      </c>
      <c r="N53" s="5">
        <f>IF($E53="","",TEXTJOIN("|",TRUE,K53:M53))</f>
      </c>
      <c r="O53" t="s">
        <v>1022</v>
      </c>
    </row>
    <row r="54" spans="1:15" x14ac:dyDescent="0.25">
      <c r="A54" t="s">
        <v>1041</v>
      </c>
      <c r="B54" t="s">
        <v>1042</v>
      </c>
      <c r="C54" t="s">
        <v>6</v>
      </c>
      <c r="D54" t="s">
        <v>7</v>
      </c>
      <c r="E54" s="4">
        <v>79</v>
      </c>
      <c r="F54" s="5">
        <f>IF($E54="","",IFERROR(INDEX(PokemonRef!$C$2:$C$494,MATCH($E54,PokemonRef!$A$2:$A$494,0)),""))</f>
      </c>
      <c r="G54" s="5">
        <f>IF($E54="","",IFERROR(INDEX(PokemonRef!$B$2:$B$494,MATCH($E54,PokemonRef!$A$2:$A$494,0)),""))</f>
      </c>
      <c r="H54" s="4">
        <v>1</v>
      </c>
      <c r="I54" s="4">
        <v>25</v>
      </c>
      <c r="J54" s="4">
        <v>35</v>
      </c>
      <c r="K54" t="s">
        <v>15</v>
      </c>
      <c r="L54" t="s">
        <v>1022</v>
      </c>
      <c r="M54" t="s">
        <v>1022</v>
      </c>
      <c r="N54" s="5">
        <f>IF($E54="","",TEXTJOIN("|",TRUE,K54:M54))</f>
      </c>
      <c r="O54" t="s">
        <v>1022</v>
      </c>
    </row>
    <row r="55" spans="1:15" x14ac:dyDescent="0.25">
      <c r="A55" t="s">
        <v>1043</v>
      </c>
      <c r="B55" t="s">
        <v>1044</v>
      </c>
      <c r="C55" t="s">
        <v>6</v>
      </c>
      <c r="D55" t="s">
        <v>7</v>
      </c>
      <c r="E55" s="4">
        <v>129</v>
      </c>
      <c r="F55" s="5">
        <f>IF($E55="","",IFERROR(INDEX(PokemonRef!$C$2:$C$494,MATCH($E55,PokemonRef!$A$2:$A$494,0)),""))</f>
      </c>
      <c r="G55" s="5">
        <f>IF($E55="","",IFERROR(INDEX(PokemonRef!$B$2:$B$494,MATCH($E55,PokemonRef!$A$2:$A$494,0)),""))</f>
      </c>
      <c r="H55" s="4">
        <v>120</v>
      </c>
      <c r="I55" s="4">
        <v>5</v>
      </c>
      <c r="J55" s="4">
        <v>15</v>
      </c>
      <c r="K55" t="s">
        <v>14</v>
      </c>
      <c r="L55" t="s">
        <v>13</v>
      </c>
      <c r="M55" t="s">
        <v>1022</v>
      </c>
      <c r="N55" s="5">
        <f>IF($E55="","",TEXTJOIN("|",TRUE,K55:M55))</f>
      </c>
      <c r="O55" t="s">
        <v>1022</v>
      </c>
    </row>
    <row r="56" spans="1:15" x14ac:dyDescent="0.25">
      <c r="A56" t="s">
        <v>1043</v>
      </c>
      <c r="B56" t="s">
        <v>1044</v>
      </c>
      <c r="C56" t="s">
        <v>6</v>
      </c>
      <c r="D56" t="s">
        <v>7</v>
      </c>
      <c r="E56" s="4">
        <v>54</v>
      </c>
      <c r="F56" s="5">
        <f>IF($E56="","",IFERROR(INDEX(PokemonRef!$C$2:$C$494,MATCH($E56,PokemonRef!$A$2:$A$494,0)),""))</f>
      </c>
      <c r="G56" s="5">
        <f>IF($E56="","",IFERROR(INDEX(PokemonRef!$B$2:$B$494,MATCH($E56,PokemonRef!$A$2:$A$494,0)),""))</f>
      </c>
      <c r="H56" s="4">
        <v>105</v>
      </c>
      <c r="I56" s="4">
        <v>15</v>
      </c>
      <c r="J56" s="4">
        <v>40</v>
      </c>
      <c r="K56" t="s">
        <v>15</v>
      </c>
      <c r="L56" t="s">
        <v>11</v>
      </c>
      <c r="M56" t="s">
        <v>1022</v>
      </c>
      <c r="N56" s="5">
        <f>IF($E56="","",TEXTJOIN("|",TRUE,K56:M56))</f>
      </c>
      <c r="O56" t="s">
        <v>1022</v>
      </c>
    </row>
    <row r="57" spans="1:15" x14ac:dyDescent="0.25">
      <c r="A57" t="s">
        <v>1043</v>
      </c>
      <c r="B57" t="s">
        <v>1044</v>
      </c>
      <c r="C57" t="s">
        <v>6</v>
      </c>
      <c r="D57" t="s">
        <v>7</v>
      </c>
      <c r="E57" s="4">
        <v>79</v>
      </c>
      <c r="F57" s="5">
        <f>IF($E57="","",IFERROR(INDEX(PokemonRef!$C$2:$C$494,MATCH($E57,PokemonRef!$A$2:$A$494,0)),""))</f>
      </c>
      <c r="G57" s="5">
        <f>IF($E57="","",IFERROR(INDEX(PokemonRef!$B$2:$B$494,MATCH($E57,PokemonRef!$A$2:$A$494,0)),""))</f>
      </c>
      <c r="H57" s="4">
        <v>105</v>
      </c>
      <c r="I57" s="4">
        <v>15</v>
      </c>
      <c r="J57" s="4">
        <v>40</v>
      </c>
      <c r="K57" t="s">
        <v>15</v>
      </c>
      <c r="L57" t="s">
        <v>11</v>
      </c>
      <c r="M57" t="s">
        <v>1022</v>
      </c>
      <c r="N57" s="5">
        <f>IF($E57="","",TEXTJOIN("|",TRUE,K57:M57))</f>
      </c>
      <c r="O57" t="s">
        <v>1022</v>
      </c>
    </row>
    <row r="58" spans="1:15" x14ac:dyDescent="0.25">
      <c r="A58" t="s">
        <v>1043</v>
      </c>
      <c r="B58" t="s">
        <v>1044</v>
      </c>
      <c r="C58" t="s">
        <v>6</v>
      </c>
      <c r="D58" t="s">
        <v>7</v>
      </c>
      <c r="E58" s="4">
        <v>60</v>
      </c>
      <c r="F58" s="5">
        <f>IF($E58="","",IFERROR(INDEX(PokemonRef!$C$2:$C$494,MATCH($E58,PokemonRef!$A$2:$A$494,0)),""))</f>
      </c>
      <c r="G58" s="5">
        <f>IF($E58="","",IFERROR(INDEX(PokemonRef!$B$2:$B$494,MATCH($E58,PokemonRef!$A$2:$A$494,0)),""))</f>
      </c>
      <c r="H58" s="4">
        <v>100</v>
      </c>
      <c r="I58" s="4">
        <v>5</v>
      </c>
      <c r="J58" s="4">
        <v>25</v>
      </c>
      <c r="K58" t="s">
        <v>14</v>
      </c>
      <c r="L58" t="s">
        <v>15</v>
      </c>
      <c r="M58" t="s">
        <v>1022</v>
      </c>
      <c r="N58" s="5">
        <f>IF($E58="","",TEXTJOIN("|",TRUE,K58:M58))</f>
      </c>
      <c r="O58" t="s">
        <v>1022</v>
      </c>
    </row>
    <row r="59" spans="1:15" x14ac:dyDescent="0.25">
      <c r="A59" t="s">
        <v>1043</v>
      </c>
      <c r="B59" t="s">
        <v>1044</v>
      </c>
      <c r="C59" t="s">
        <v>6</v>
      </c>
      <c r="D59" t="s">
        <v>7</v>
      </c>
      <c r="E59" s="4">
        <v>61</v>
      </c>
      <c r="F59" s="5">
        <f>IF($E59="","",IFERROR(INDEX(PokemonRef!$C$2:$C$494,MATCH($E59,PokemonRef!$A$2:$A$494,0)),""))</f>
      </c>
      <c r="G59" s="5">
        <f>IF($E59="","",IFERROR(INDEX(PokemonRef!$B$2:$B$494,MATCH($E59,PokemonRef!$A$2:$A$494,0)),""))</f>
      </c>
      <c r="H59" s="4">
        <v>40</v>
      </c>
      <c r="I59" s="4">
        <v>20</v>
      </c>
      <c r="J59" s="4">
        <v>30</v>
      </c>
      <c r="K59" t="s">
        <v>15</v>
      </c>
      <c r="L59" t="s">
        <v>1022</v>
      </c>
      <c r="M59" t="s">
        <v>1022</v>
      </c>
      <c r="N59" s="5">
        <f>IF($E59="","",TEXTJOIN("|",TRUE,K59:M59))</f>
      </c>
      <c r="O59" t="s">
        <v>1022</v>
      </c>
    </row>
    <row r="60" spans="1:15" x14ac:dyDescent="0.25">
      <c r="A60" t="s">
        <v>1043</v>
      </c>
      <c r="B60" t="s">
        <v>1044</v>
      </c>
      <c r="C60" t="s">
        <v>6</v>
      </c>
      <c r="D60" t="s">
        <v>7</v>
      </c>
      <c r="E60" s="4">
        <v>43</v>
      </c>
      <c r="F60" s="5">
        <f>IF($E60="","",IFERROR(INDEX(PokemonRef!$C$2:$C$494,MATCH($E60,PokemonRef!$A$2:$A$494,0)),""))</f>
      </c>
      <c r="G60" s="5">
        <f>IF($E60="","",IFERROR(INDEX(PokemonRef!$B$2:$B$494,MATCH($E60,PokemonRef!$A$2:$A$494,0)),""))</f>
      </c>
      <c r="H60" s="4">
        <v>25</v>
      </c>
      <c r="I60" s="4">
        <v>12</v>
      </c>
      <c r="J60" s="4">
        <v>14</v>
      </c>
      <c r="K60" t="s">
        <v>8</v>
      </c>
      <c r="L60" t="s">
        <v>1022</v>
      </c>
      <c r="M60" t="s">
        <v>1022</v>
      </c>
      <c r="N60" s="5">
        <f>IF($E60="","",TEXTJOIN("|",TRUE,K60:M60))</f>
      </c>
      <c r="O60" t="s">
        <v>1022</v>
      </c>
    </row>
    <row r="61" spans="1:15" x14ac:dyDescent="0.25">
      <c r="A61" t="s">
        <v>1043</v>
      </c>
      <c r="B61" t="s">
        <v>1044</v>
      </c>
      <c r="C61" t="s">
        <v>6</v>
      </c>
      <c r="D61" t="s">
        <v>7</v>
      </c>
      <c r="E61" s="4">
        <v>69</v>
      </c>
      <c r="F61" s="5">
        <f>IF($E61="","",IFERROR(INDEX(PokemonRef!$C$2:$C$494,MATCH($E61,PokemonRef!$A$2:$A$494,0)),""))</f>
      </c>
      <c r="G61" s="5">
        <f>IF($E61="","",IFERROR(INDEX(PokemonRef!$B$2:$B$494,MATCH($E61,PokemonRef!$A$2:$A$494,0)),""))</f>
      </c>
      <c r="H61" s="4">
        <v>25</v>
      </c>
      <c r="I61" s="4">
        <v>12</v>
      </c>
      <c r="J61" s="4">
        <v>14</v>
      </c>
      <c r="K61" t="s">
        <v>8</v>
      </c>
      <c r="L61" t="s">
        <v>1022</v>
      </c>
      <c r="M61" t="s">
        <v>1022</v>
      </c>
      <c r="N61" s="5">
        <f>IF($E61="","",TEXTJOIN("|",TRUE,K61:M61))</f>
      </c>
      <c r="O61" t="s">
        <v>1022</v>
      </c>
    </row>
    <row r="62" spans="1:15" x14ac:dyDescent="0.25">
      <c r="A62" t="s">
        <v>1043</v>
      </c>
      <c r="B62" t="s">
        <v>1044</v>
      </c>
      <c r="C62" t="s">
        <v>6</v>
      </c>
      <c r="D62" t="s">
        <v>7</v>
      </c>
      <c r="E62" s="4">
        <v>10</v>
      </c>
      <c r="F62" s="5">
        <f>IF($E62="","",IFERROR(INDEX(PokemonRef!$C$2:$C$494,MATCH($E62,PokemonRef!$A$2:$A$494,0)),""))</f>
      </c>
      <c r="G62" s="5">
        <f>IF($E62="","",IFERROR(INDEX(PokemonRef!$B$2:$B$494,MATCH($E62,PokemonRef!$A$2:$A$494,0)),""))</f>
      </c>
      <c r="H62" s="4">
        <v>20</v>
      </c>
      <c r="I62" s="4">
        <v>8</v>
      </c>
      <c r="J62" s="4">
        <v>8</v>
      </c>
      <c r="K62" t="s">
        <v>8</v>
      </c>
      <c r="L62" t="s">
        <v>1022</v>
      </c>
      <c r="M62" t="s">
        <v>1022</v>
      </c>
      <c r="N62" s="5">
        <f>IF($E62="","",TEXTJOIN("|",TRUE,K62:M62))</f>
      </c>
      <c r="O62" t="s">
        <v>1022</v>
      </c>
    </row>
    <row r="63" spans="1:15" x14ac:dyDescent="0.25">
      <c r="A63" t="s">
        <v>1043</v>
      </c>
      <c r="B63" t="s">
        <v>1044</v>
      </c>
      <c r="C63" t="s">
        <v>6</v>
      </c>
      <c r="D63" t="s">
        <v>7</v>
      </c>
      <c r="E63" s="4">
        <v>13</v>
      </c>
      <c r="F63" s="5">
        <f>IF($E63="","",IFERROR(INDEX(PokemonRef!$C$2:$C$494,MATCH($E63,PokemonRef!$A$2:$A$494,0)),""))</f>
      </c>
      <c r="G63" s="5">
        <f>IF($E63="","",IFERROR(INDEX(PokemonRef!$B$2:$B$494,MATCH($E63,PokemonRef!$A$2:$A$494,0)),""))</f>
      </c>
      <c r="H63" s="4">
        <v>20</v>
      </c>
      <c r="I63" s="4">
        <v>8</v>
      </c>
      <c r="J63" s="4">
        <v>8</v>
      </c>
      <c r="K63" t="s">
        <v>8</v>
      </c>
      <c r="L63" t="s">
        <v>1022</v>
      </c>
      <c r="M63" t="s">
        <v>1022</v>
      </c>
      <c r="N63" s="5">
        <f>IF($E63="","",TEXTJOIN("|",TRUE,K63:M63))</f>
      </c>
      <c r="O63" t="s">
        <v>1022</v>
      </c>
    </row>
    <row r="64" spans="1:15" x14ac:dyDescent="0.25">
      <c r="A64" t="s">
        <v>1043</v>
      </c>
      <c r="B64" t="s">
        <v>1044</v>
      </c>
      <c r="C64" t="s">
        <v>6</v>
      </c>
      <c r="D64" t="s">
        <v>7</v>
      </c>
      <c r="E64" s="4">
        <v>118</v>
      </c>
      <c r="F64" s="5">
        <f>IF($E64="","",IFERROR(INDEX(PokemonRef!$C$2:$C$494,MATCH($E64,PokemonRef!$A$2:$A$494,0)),""))</f>
      </c>
      <c r="G64" s="5">
        <f>IF($E64="","",IFERROR(INDEX(PokemonRef!$B$2:$B$494,MATCH($E64,PokemonRef!$A$2:$A$494,0)),""))</f>
      </c>
      <c r="H64" s="4">
        <v>20</v>
      </c>
      <c r="I64" s="4">
        <v>5</v>
      </c>
      <c r="J64" s="4">
        <v>15</v>
      </c>
      <c r="K64" t="s">
        <v>14</v>
      </c>
      <c r="L64" t="s">
        <v>1022</v>
      </c>
      <c r="M64" t="s">
        <v>1022</v>
      </c>
      <c r="N64" s="5">
        <f>IF($E64="","",TEXTJOIN("|",TRUE,K64:M64))</f>
      </c>
      <c r="O64" t="s">
        <v>1022</v>
      </c>
    </row>
    <row r="65" spans="1:15" x14ac:dyDescent="0.25">
      <c r="A65" t="s">
        <v>1043</v>
      </c>
      <c r="B65" t="s">
        <v>1044</v>
      </c>
      <c r="C65" t="s">
        <v>6</v>
      </c>
      <c r="D65" t="s">
        <v>7</v>
      </c>
      <c r="E65" s="4">
        <v>16</v>
      </c>
      <c r="F65" s="5">
        <f>IF($E65="","",IFERROR(INDEX(PokemonRef!$C$2:$C$494,MATCH($E65,PokemonRef!$A$2:$A$494,0)),""))</f>
      </c>
      <c r="G65" s="5">
        <f>IF($E65="","",IFERROR(INDEX(PokemonRef!$B$2:$B$494,MATCH($E65,PokemonRef!$A$2:$A$494,0)),""))</f>
      </c>
      <c r="H65" s="4">
        <v>15</v>
      </c>
      <c r="I65" s="4">
        <v>11</v>
      </c>
      <c r="J65" s="4">
        <v>13</v>
      </c>
      <c r="K65" t="s">
        <v>8</v>
      </c>
      <c r="L65" t="s">
        <v>1022</v>
      </c>
      <c r="M65" t="s">
        <v>1022</v>
      </c>
      <c r="N65" s="5">
        <f>IF($E65="","",TEXTJOIN("|",TRUE,K65:M65))</f>
      </c>
      <c r="O65" t="s">
        <v>1022</v>
      </c>
    </row>
    <row r="66" spans="1:15" x14ac:dyDescent="0.25">
      <c r="A66" t="s">
        <v>1043</v>
      </c>
      <c r="B66" t="s">
        <v>1044</v>
      </c>
      <c r="C66" t="s">
        <v>6</v>
      </c>
      <c r="D66" t="s">
        <v>7</v>
      </c>
      <c r="E66" s="4">
        <v>63</v>
      </c>
      <c r="F66" s="5">
        <f>IF($E66="","",IFERROR(INDEX(PokemonRef!$C$2:$C$494,MATCH($E66,PokemonRef!$A$2:$A$494,0)),""))</f>
      </c>
      <c r="G66" s="5">
        <f>IF($E66="","",IFERROR(INDEX(PokemonRef!$B$2:$B$494,MATCH($E66,PokemonRef!$A$2:$A$494,0)),""))</f>
      </c>
      <c r="H66" s="4">
        <v>15</v>
      </c>
      <c r="I66" s="4">
        <v>9</v>
      </c>
      <c r="J66" s="4">
        <v>13</v>
      </c>
      <c r="K66" t="s">
        <v>8</v>
      </c>
      <c r="L66" t="s">
        <v>1022</v>
      </c>
      <c r="M66" t="s">
        <v>1022</v>
      </c>
      <c r="N66" s="5">
        <f>IF($E66="","",TEXTJOIN("|",TRUE,K66:M66))</f>
      </c>
      <c r="O66" t="s">
        <v>1022</v>
      </c>
    </row>
    <row r="67" spans="1:15" x14ac:dyDescent="0.25">
      <c r="A67" t="s">
        <v>1043</v>
      </c>
      <c r="B67" t="s">
        <v>1044</v>
      </c>
      <c r="C67" t="s">
        <v>6</v>
      </c>
      <c r="D67" t="s">
        <v>7</v>
      </c>
      <c r="E67" s="4">
        <v>130</v>
      </c>
      <c r="F67" s="5">
        <f>IF($E67="","",IFERROR(INDEX(PokemonRef!$C$2:$C$494,MATCH($E67,PokemonRef!$A$2:$A$494,0)),""))</f>
      </c>
      <c r="G67" s="5">
        <f>IF($E67="","",IFERROR(INDEX(PokemonRef!$B$2:$B$494,MATCH($E67,PokemonRef!$A$2:$A$494,0)),""))</f>
      </c>
      <c r="H67" s="4">
        <v>15</v>
      </c>
      <c r="I67" s="4">
        <v>15</v>
      </c>
      <c r="J67" s="4">
        <v>25</v>
      </c>
      <c r="K67" t="s">
        <v>15</v>
      </c>
      <c r="L67" t="s">
        <v>1022</v>
      </c>
      <c r="M67" t="s">
        <v>1022</v>
      </c>
      <c r="N67" s="5">
        <f>IF($E67="","",TEXTJOIN("|",TRUE,K67:M67))</f>
      </c>
      <c r="O67" t="s">
        <v>1022</v>
      </c>
    </row>
    <row r="68" spans="1:15" x14ac:dyDescent="0.25">
      <c r="A68" t="s">
        <v>1043</v>
      </c>
      <c r="B68" t="s">
        <v>1044</v>
      </c>
      <c r="C68" t="s">
        <v>6</v>
      </c>
      <c r="D68" t="s">
        <v>7</v>
      </c>
      <c r="E68" s="4">
        <v>11</v>
      </c>
      <c r="F68" s="5">
        <f>IF($E68="","",IFERROR(INDEX(PokemonRef!$C$2:$C$494,MATCH($E68,PokemonRef!$A$2:$A$494,0)),""))</f>
      </c>
      <c r="G68" s="5">
        <f>IF($E68="","",IFERROR(INDEX(PokemonRef!$B$2:$B$494,MATCH($E68,PokemonRef!$A$2:$A$494,0)),""))</f>
      </c>
      <c r="H68" s="4">
        <v>4</v>
      </c>
      <c r="I68" s="4">
        <v>9</v>
      </c>
      <c r="J68" s="4">
        <v>9</v>
      </c>
      <c r="K68" t="s">
        <v>8</v>
      </c>
      <c r="L68" t="s">
        <v>1022</v>
      </c>
      <c r="M68" t="s">
        <v>1022</v>
      </c>
      <c r="N68" s="5">
        <f>IF($E68="","",TEXTJOIN("|",TRUE,K68:M68))</f>
      </c>
      <c r="O68" t="s">
        <v>1022</v>
      </c>
    </row>
    <row r="69" spans="1:15" x14ac:dyDescent="0.25">
      <c r="A69" t="s">
        <v>1043</v>
      </c>
      <c r="B69" t="s">
        <v>1044</v>
      </c>
      <c r="C69" t="s">
        <v>6</v>
      </c>
      <c r="D69" t="s">
        <v>7</v>
      </c>
      <c r="E69" s="4">
        <v>14</v>
      </c>
      <c r="F69" s="5">
        <f>IF($E69="","",IFERROR(INDEX(PokemonRef!$C$2:$C$494,MATCH($E69,PokemonRef!$A$2:$A$494,0)),""))</f>
      </c>
      <c r="G69" s="5">
        <f>IF($E69="","",IFERROR(INDEX(PokemonRef!$B$2:$B$494,MATCH($E69,PokemonRef!$A$2:$A$494,0)),""))</f>
      </c>
      <c r="H69" s="4">
        <v>4</v>
      </c>
      <c r="I69" s="4">
        <v>9</v>
      </c>
      <c r="J69" s="4">
        <v>9</v>
      </c>
      <c r="K69" t="s">
        <v>8</v>
      </c>
      <c r="L69" t="s">
        <v>1022</v>
      </c>
      <c r="M69" t="s">
        <v>1022</v>
      </c>
      <c r="N69" s="5">
        <f>IF($E69="","",TEXTJOIN("|",TRUE,K69:M69))</f>
      </c>
      <c r="O69" t="s">
        <v>1022</v>
      </c>
    </row>
    <row r="70" spans="1:15" x14ac:dyDescent="0.25">
      <c r="A70" t="s">
        <v>1045</v>
      </c>
      <c r="B70" t="s">
        <v>1046</v>
      </c>
      <c r="C70" t="s">
        <v>6</v>
      </c>
      <c r="D70" t="s">
        <v>7</v>
      </c>
      <c r="E70" s="4">
        <v>16</v>
      </c>
      <c r="F70" s="5">
        <f>IF($E70="","",IFERROR(INDEX(PokemonRef!$C$2:$C$494,MATCH($E70,PokemonRef!$A$2:$A$494,0)),""))</f>
      </c>
      <c r="G70" s="5">
        <f>IF($E70="","",IFERROR(INDEX(PokemonRef!$B$2:$B$494,MATCH($E70,PokemonRef!$A$2:$A$494,0)),""))</f>
      </c>
      <c r="H70" s="4">
        <v>40</v>
      </c>
      <c r="I70" s="4">
        <v>13</v>
      </c>
      <c r="J70" s="4">
        <v>16</v>
      </c>
      <c r="K70" t="s">
        <v>8</v>
      </c>
      <c r="L70" t="s">
        <v>1022</v>
      </c>
      <c r="M70" t="s">
        <v>1022</v>
      </c>
      <c r="N70" s="5">
        <f>IF($E70="","",TEXTJOIN("|",TRUE,K70:M70))</f>
      </c>
      <c r="O70" t="s">
        <v>1022</v>
      </c>
    </row>
    <row r="71" spans="1:15" x14ac:dyDescent="0.25">
      <c r="A71" t="s">
        <v>1045</v>
      </c>
      <c r="B71" t="s">
        <v>1046</v>
      </c>
      <c r="C71" t="s">
        <v>6</v>
      </c>
      <c r="D71" t="s">
        <v>7</v>
      </c>
      <c r="E71" s="4">
        <v>52</v>
      </c>
      <c r="F71" s="5">
        <f>IF($E71="","",IFERROR(INDEX(PokemonRef!$C$2:$C$494,MATCH($E71,PokemonRef!$A$2:$A$494,0)),""))</f>
      </c>
      <c r="G71" s="5">
        <f>IF($E71="","",IFERROR(INDEX(PokemonRef!$B$2:$B$494,MATCH($E71,PokemonRef!$A$2:$A$494,0)),""))</f>
      </c>
      <c r="H71" s="4">
        <v>35</v>
      </c>
      <c r="I71" s="4">
        <v>10</v>
      </c>
      <c r="J71" s="4">
        <v>16</v>
      </c>
      <c r="K71" t="s">
        <v>8</v>
      </c>
      <c r="L71" t="s">
        <v>1022</v>
      </c>
      <c r="M71" t="s">
        <v>1022</v>
      </c>
      <c r="N71" s="5">
        <f>IF($E71="","",TEXTJOIN("|",TRUE,K71:M71))</f>
      </c>
      <c r="O71" t="s">
        <v>1022</v>
      </c>
    </row>
    <row r="72" spans="1:15" x14ac:dyDescent="0.25">
      <c r="A72" t="s">
        <v>1045</v>
      </c>
      <c r="B72" t="s">
        <v>1046</v>
      </c>
      <c r="C72" t="s">
        <v>6</v>
      </c>
      <c r="D72" t="s">
        <v>7</v>
      </c>
      <c r="E72" s="4">
        <v>43</v>
      </c>
      <c r="F72" s="5">
        <f>IF($E72="","",IFERROR(INDEX(PokemonRef!$C$2:$C$494,MATCH($E72,PokemonRef!$A$2:$A$494,0)),""))</f>
      </c>
      <c r="G72" s="5">
        <f>IF($E72="","",IFERROR(INDEX(PokemonRef!$B$2:$B$494,MATCH($E72,PokemonRef!$A$2:$A$494,0)),""))</f>
      </c>
      <c r="H72" s="4">
        <v>25</v>
      </c>
      <c r="I72" s="4">
        <v>13</v>
      </c>
      <c r="J72" s="4">
        <v>16</v>
      </c>
      <c r="K72" t="s">
        <v>8</v>
      </c>
      <c r="L72" t="s">
        <v>1022</v>
      </c>
      <c r="M72" t="s">
        <v>1022</v>
      </c>
      <c r="N72" s="5">
        <f>IF($E72="","",TEXTJOIN("|",TRUE,K72:M72))</f>
      </c>
      <c r="O72" t="s">
        <v>1022</v>
      </c>
    </row>
    <row r="73" spans="1:15" x14ac:dyDescent="0.25">
      <c r="A73" t="s">
        <v>1045</v>
      </c>
      <c r="B73" t="s">
        <v>1046</v>
      </c>
      <c r="C73" t="s">
        <v>6</v>
      </c>
      <c r="D73" t="s">
        <v>7</v>
      </c>
      <c r="E73" s="4">
        <v>69</v>
      </c>
      <c r="F73" s="5">
        <f>IF($E73="","",IFERROR(INDEX(PokemonRef!$C$2:$C$494,MATCH($E73,PokemonRef!$A$2:$A$494,0)),""))</f>
      </c>
      <c r="G73" s="5">
        <f>IF($E73="","",IFERROR(INDEX(PokemonRef!$B$2:$B$494,MATCH($E73,PokemonRef!$A$2:$A$494,0)),""))</f>
      </c>
      <c r="H73" s="4">
        <v>25</v>
      </c>
      <c r="I73" s="4">
        <v>13</v>
      </c>
      <c r="J73" s="4">
        <v>16</v>
      </c>
      <c r="K73" t="s">
        <v>8</v>
      </c>
      <c r="L73" t="s">
        <v>1022</v>
      </c>
      <c r="M73" t="s">
        <v>1022</v>
      </c>
      <c r="N73" s="5">
        <f>IF($E73="","",TEXTJOIN("|",TRUE,K73:M73))</f>
      </c>
      <c r="O73" t="s">
        <v>1022</v>
      </c>
    </row>
    <row r="74" spans="1:15" x14ac:dyDescent="0.25">
      <c r="A74" t="s">
        <v>1047</v>
      </c>
      <c r="B74" t="s">
        <v>1048</v>
      </c>
      <c r="C74" t="s">
        <v>6</v>
      </c>
      <c r="D74" t="s">
        <v>7</v>
      </c>
      <c r="E74" s="4">
        <v>129</v>
      </c>
      <c r="F74" s="5">
        <f>IF($E74="","",IFERROR(INDEX(PokemonRef!$C$2:$C$494,MATCH($E74,PokemonRef!$A$2:$A$494,0)),""))</f>
      </c>
      <c r="G74" s="5">
        <f>IF($E74="","",IFERROR(INDEX(PokemonRef!$B$2:$B$494,MATCH($E74,PokemonRef!$A$2:$A$494,0)),""))</f>
      </c>
      <c r="H74" s="4">
        <v>120</v>
      </c>
      <c r="I74" s="4">
        <v>5</v>
      </c>
      <c r="J74" s="4">
        <v>15</v>
      </c>
      <c r="K74" t="s">
        <v>14</v>
      </c>
      <c r="L74" t="s">
        <v>13</v>
      </c>
      <c r="M74" t="s">
        <v>1022</v>
      </c>
      <c r="N74" s="5">
        <f>IF($E74="","",TEXTJOIN("|",TRUE,K74:M74))</f>
      </c>
      <c r="O74" t="s">
        <v>1022</v>
      </c>
    </row>
    <row r="75" spans="1:15" x14ac:dyDescent="0.25">
      <c r="A75" t="s">
        <v>1047</v>
      </c>
      <c r="B75" t="s">
        <v>1048</v>
      </c>
      <c r="C75" t="s">
        <v>6</v>
      </c>
      <c r="D75" t="s">
        <v>7</v>
      </c>
      <c r="E75" s="4">
        <v>54</v>
      </c>
      <c r="F75" s="5">
        <f>IF($E75="","",IFERROR(INDEX(PokemonRef!$C$2:$C$494,MATCH($E75,PokemonRef!$A$2:$A$494,0)),""))</f>
      </c>
      <c r="G75" s="5">
        <f>IF($E75="","",IFERROR(INDEX(PokemonRef!$B$2:$B$494,MATCH($E75,PokemonRef!$A$2:$A$494,0)),""))</f>
      </c>
      <c r="H75" s="4">
        <v>105</v>
      </c>
      <c r="I75" s="4">
        <v>15</v>
      </c>
      <c r="J75" s="4">
        <v>40</v>
      </c>
      <c r="K75" t="s">
        <v>15</v>
      </c>
      <c r="L75" t="s">
        <v>11</v>
      </c>
      <c r="M75" t="s">
        <v>1022</v>
      </c>
      <c r="N75" s="5">
        <f>IF($E75="","",TEXTJOIN("|",TRUE,K75:M75))</f>
      </c>
      <c r="O75" t="s">
        <v>1022</v>
      </c>
    </row>
    <row r="76" spans="1:15" x14ac:dyDescent="0.25">
      <c r="A76" t="s">
        <v>1047</v>
      </c>
      <c r="B76" t="s">
        <v>1048</v>
      </c>
      <c r="C76" t="s">
        <v>6</v>
      </c>
      <c r="D76" t="s">
        <v>7</v>
      </c>
      <c r="E76" s="4">
        <v>79</v>
      </c>
      <c r="F76" s="5">
        <f>IF($E76="","",IFERROR(INDEX(PokemonRef!$C$2:$C$494,MATCH($E76,PokemonRef!$A$2:$A$494,0)),""))</f>
      </c>
      <c r="G76" s="5">
        <f>IF($E76="","",IFERROR(INDEX(PokemonRef!$B$2:$B$494,MATCH($E76,PokemonRef!$A$2:$A$494,0)),""))</f>
      </c>
      <c r="H76" s="4">
        <v>105</v>
      </c>
      <c r="I76" s="4">
        <v>15</v>
      </c>
      <c r="J76" s="4">
        <v>40</v>
      </c>
      <c r="K76" t="s">
        <v>15</v>
      </c>
      <c r="L76" t="s">
        <v>11</v>
      </c>
      <c r="M76" t="s">
        <v>1022</v>
      </c>
      <c r="N76" s="5">
        <f>IF($E76="","",TEXTJOIN("|",TRUE,K76:M76))</f>
      </c>
      <c r="O76" t="s">
        <v>1022</v>
      </c>
    </row>
    <row r="77" spans="1:15" x14ac:dyDescent="0.25">
      <c r="A77" t="s">
        <v>1047</v>
      </c>
      <c r="B77" t="s">
        <v>1048</v>
      </c>
      <c r="C77" t="s">
        <v>6</v>
      </c>
      <c r="D77" t="s">
        <v>7</v>
      </c>
      <c r="E77" s="4">
        <v>60</v>
      </c>
      <c r="F77" s="5">
        <f>IF($E77="","",IFERROR(INDEX(PokemonRef!$C$2:$C$494,MATCH($E77,PokemonRef!$A$2:$A$494,0)),""))</f>
      </c>
      <c r="G77" s="5">
        <f>IF($E77="","",IFERROR(INDEX(PokemonRef!$B$2:$B$494,MATCH($E77,PokemonRef!$A$2:$A$494,0)),""))</f>
      </c>
      <c r="H77" s="4">
        <v>100</v>
      </c>
      <c r="I77" s="4">
        <v>5</v>
      </c>
      <c r="J77" s="4">
        <v>25</v>
      </c>
      <c r="K77" t="s">
        <v>14</v>
      </c>
      <c r="L77" t="s">
        <v>15</v>
      </c>
      <c r="M77" t="s">
        <v>1022</v>
      </c>
      <c r="N77" s="5">
        <f>IF($E77="","",TEXTJOIN("|",TRUE,K77:M77))</f>
      </c>
      <c r="O77" t="s">
        <v>1022</v>
      </c>
    </row>
    <row r="78" spans="1:15" x14ac:dyDescent="0.25">
      <c r="A78" t="s">
        <v>1047</v>
      </c>
      <c r="B78" t="s">
        <v>1048</v>
      </c>
      <c r="C78" t="s">
        <v>6</v>
      </c>
      <c r="D78" t="s">
        <v>7</v>
      </c>
      <c r="E78" s="4">
        <v>16</v>
      </c>
      <c r="F78" s="5">
        <f>IF($E78="","",IFERROR(INDEX(PokemonRef!$C$2:$C$494,MATCH($E78,PokemonRef!$A$2:$A$494,0)),""))</f>
      </c>
      <c r="G78" s="5">
        <f>IF($E78="","",IFERROR(INDEX(PokemonRef!$B$2:$B$494,MATCH($E78,PokemonRef!$A$2:$A$494,0)),""))</f>
      </c>
      <c r="H78" s="4">
        <v>40</v>
      </c>
      <c r="I78" s="4">
        <v>13</v>
      </c>
      <c r="J78" s="4">
        <v>16</v>
      </c>
      <c r="K78" t="s">
        <v>8</v>
      </c>
      <c r="L78" t="s">
        <v>1022</v>
      </c>
      <c r="M78" t="s">
        <v>1022</v>
      </c>
      <c r="N78" s="5">
        <f>IF($E78="","",TEXTJOIN("|",TRUE,K78:M78))</f>
      </c>
      <c r="O78" t="s">
        <v>1022</v>
      </c>
    </row>
    <row r="79" spans="1:15" x14ac:dyDescent="0.25">
      <c r="A79" t="s">
        <v>1047</v>
      </c>
      <c r="B79" t="s">
        <v>1048</v>
      </c>
      <c r="C79" t="s">
        <v>6</v>
      </c>
      <c r="D79" t="s">
        <v>7</v>
      </c>
      <c r="E79" s="4">
        <v>61</v>
      </c>
      <c r="F79" s="5">
        <f>IF($E79="","",IFERROR(INDEX(PokemonRef!$C$2:$C$494,MATCH($E79,PokemonRef!$A$2:$A$494,0)),""))</f>
      </c>
      <c r="G79" s="5">
        <f>IF($E79="","",IFERROR(INDEX(PokemonRef!$B$2:$B$494,MATCH($E79,PokemonRef!$A$2:$A$494,0)),""))</f>
      </c>
      <c r="H79" s="4">
        <v>40</v>
      </c>
      <c r="I79" s="4">
        <v>20</v>
      </c>
      <c r="J79" s="4">
        <v>30</v>
      </c>
      <c r="K79" t="s">
        <v>15</v>
      </c>
      <c r="L79" t="s">
        <v>1022</v>
      </c>
      <c r="M79" t="s">
        <v>1022</v>
      </c>
      <c r="N79" s="5">
        <f>IF($E79="","",TEXTJOIN("|",TRUE,K79:M79))</f>
      </c>
      <c r="O79" t="s">
        <v>1022</v>
      </c>
    </row>
    <row r="80" spans="1:15" x14ac:dyDescent="0.25">
      <c r="A80" t="s">
        <v>1047</v>
      </c>
      <c r="B80" t="s">
        <v>1048</v>
      </c>
      <c r="C80" t="s">
        <v>6</v>
      </c>
      <c r="D80" t="s">
        <v>7</v>
      </c>
      <c r="E80" s="4">
        <v>52</v>
      </c>
      <c r="F80" s="5">
        <f>IF($E80="","",IFERROR(INDEX(PokemonRef!$C$2:$C$494,MATCH($E80,PokemonRef!$A$2:$A$494,0)),""))</f>
      </c>
      <c r="G80" s="5">
        <f>IF($E80="","",IFERROR(INDEX(PokemonRef!$B$2:$B$494,MATCH($E80,PokemonRef!$A$2:$A$494,0)),""))</f>
      </c>
      <c r="H80" s="4">
        <v>35</v>
      </c>
      <c r="I80" s="4">
        <v>10</v>
      </c>
      <c r="J80" s="4">
        <v>16</v>
      </c>
      <c r="K80" t="s">
        <v>8</v>
      </c>
      <c r="L80" t="s">
        <v>1022</v>
      </c>
      <c r="M80" t="s">
        <v>1022</v>
      </c>
      <c r="N80" s="5">
        <f>IF($E80="","",TEXTJOIN("|",TRUE,K80:M80))</f>
      </c>
      <c r="O80" t="s">
        <v>1022</v>
      </c>
    </row>
    <row r="81" spans="1:15" x14ac:dyDescent="0.25">
      <c r="A81" t="s">
        <v>1047</v>
      </c>
      <c r="B81" t="s">
        <v>1048</v>
      </c>
      <c r="C81" t="s">
        <v>6</v>
      </c>
      <c r="D81" t="s">
        <v>7</v>
      </c>
      <c r="E81" s="4">
        <v>43</v>
      </c>
      <c r="F81" s="5">
        <f>IF($E81="","",IFERROR(INDEX(PokemonRef!$C$2:$C$494,MATCH($E81,PokemonRef!$A$2:$A$494,0)),""))</f>
      </c>
      <c r="G81" s="5">
        <f>IF($E81="","",IFERROR(INDEX(PokemonRef!$B$2:$B$494,MATCH($E81,PokemonRef!$A$2:$A$494,0)),""))</f>
      </c>
      <c r="H81" s="4">
        <v>25</v>
      </c>
      <c r="I81" s="4">
        <v>13</v>
      </c>
      <c r="J81" s="4">
        <v>16</v>
      </c>
      <c r="K81" t="s">
        <v>8</v>
      </c>
      <c r="L81" t="s">
        <v>1022</v>
      </c>
      <c r="M81" t="s">
        <v>1022</v>
      </c>
      <c r="N81" s="5">
        <f>IF($E81="","",TEXTJOIN("|",TRUE,K81:M81))</f>
      </c>
      <c r="O81" t="s">
        <v>1022</v>
      </c>
    </row>
    <row r="82" spans="1:15" x14ac:dyDescent="0.25">
      <c r="A82" t="s">
        <v>1047</v>
      </c>
      <c r="B82" t="s">
        <v>1048</v>
      </c>
      <c r="C82" t="s">
        <v>6</v>
      </c>
      <c r="D82" t="s">
        <v>7</v>
      </c>
      <c r="E82" s="4">
        <v>69</v>
      </c>
      <c r="F82" s="5">
        <f>IF($E82="","",IFERROR(INDEX(PokemonRef!$C$2:$C$494,MATCH($E82,PokemonRef!$A$2:$A$494,0)),""))</f>
      </c>
      <c r="G82" s="5">
        <f>IF($E82="","",IFERROR(INDEX(PokemonRef!$B$2:$B$494,MATCH($E82,PokemonRef!$A$2:$A$494,0)),""))</f>
      </c>
      <c r="H82" s="4">
        <v>25</v>
      </c>
      <c r="I82" s="4">
        <v>13</v>
      </c>
      <c r="J82" s="4">
        <v>16</v>
      </c>
      <c r="K82" t="s">
        <v>8</v>
      </c>
      <c r="L82" t="s">
        <v>1022</v>
      </c>
      <c r="M82" t="s">
        <v>1022</v>
      </c>
      <c r="N82" s="5">
        <f>IF($E82="","",TEXTJOIN("|",TRUE,K82:M82))</f>
      </c>
      <c r="O82" t="s">
        <v>1022</v>
      </c>
    </row>
    <row r="83" spans="1:15" x14ac:dyDescent="0.25">
      <c r="A83" t="s">
        <v>1047</v>
      </c>
      <c r="B83" t="s">
        <v>1048</v>
      </c>
      <c r="C83" t="s">
        <v>6</v>
      </c>
      <c r="D83" t="s">
        <v>7</v>
      </c>
      <c r="E83" s="4">
        <v>118</v>
      </c>
      <c r="F83" s="5">
        <f>IF($E83="","",IFERROR(INDEX(PokemonRef!$C$2:$C$494,MATCH($E83,PokemonRef!$A$2:$A$494,0)),""))</f>
      </c>
      <c r="G83" s="5">
        <f>IF($E83="","",IFERROR(INDEX(PokemonRef!$B$2:$B$494,MATCH($E83,PokemonRef!$A$2:$A$494,0)),""))</f>
      </c>
      <c r="H83" s="4">
        <v>20</v>
      </c>
      <c r="I83" s="4">
        <v>5</v>
      </c>
      <c r="J83" s="4">
        <v>15</v>
      </c>
      <c r="K83" t="s">
        <v>14</v>
      </c>
      <c r="L83" t="s">
        <v>1022</v>
      </c>
      <c r="M83" t="s">
        <v>1022</v>
      </c>
      <c r="N83" s="5">
        <f>IF($E83="","",TEXTJOIN("|",TRUE,K83:M83))</f>
      </c>
      <c r="O83" t="s">
        <v>1022</v>
      </c>
    </row>
    <row r="84" spans="1:15" x14ac:dyDescent="0.25">
      <c r="A84" t="s">
        <v>1047</v>
      </c>
      <c r="B84" t="s">
        <v>1048</v>
      </c>
      <c r="C84" t="s">
        <v>6</v>
      </c>
      <c r="D84" t="s">
        <v>7</v>
      </c>
      <c r="E84" s="4">
        <v>130</v>
      </c>
      <c r="F84" s="5">
        <f>IF($E84="","",IFERROR(INDEX(PokemonRef!$C$2:$C$494,MATCH($E84,PokemonRef!$A$2:$A$494,0)),""))</f>
      </c>
      <c r="G84" s="5">
        <f>IF($E84="","",IFERROR(INDEX(PokemonRef!$B$2:$B$494,MATCH($E84,PokemonRef!$A$2:$A$494,0)),""))</f>
      </c>
      <c r="H84" s="4">
        <v>15</v>
      </c>
      <c r="I84" s="4">
        <v>15</v>
      </c>
      <c r="J84" s="4">
        <v>25</v>
      </c>
      <c r="K84" t="s">
        <v>15</v>
      </c>
      <c r="L84" t="s">
        <v>1022</v>
      </c>
      <c r="M84" t="s">
        <v>1022</v>
      </c>
      <c r="N84" s="5">
        <f>IF($E84="","",TEXTJOIN("|",TRUE,K84:M84))</f>
      </c>
      <c r="O84" t="s">
        <v>1022</v>
      </c>
    </row>
    <row r="85" spans="1:15" x14ac:dyDescent="0.25">
      <c r="A85" t="s">
        <v>1049</v>
      </c>
      <c r="B85" t="s">
        <v>1050</v>
      </c>
      <c r="C85" t="s">
        <v>1021</v>
      </c>
      <c r="D85" t="s">
        <v>10</v>
      </c>
      <c r="E85" s="4" t="s">
        <v>1022</v>
      </c>
      <c r="F85" s="5"/>
      <c r="G85" s="5"/>
      <c r="H85" s="4" t="s">
        <v>1022</v>
      </c>
      <c r="I85" s="4" t="s">
        <v>1022</v>
      </c>
      <c r="J85" s="4" t="s">
        <v>1022</v>
      </c>
      <c r="K85" t="s">
        <v>1022</v>
      </c>
      <c r="L85" t="s">
        <v>1022</v>
      </c>
      <c r="M85" t="s">
        <v>1022</v>
      </c>
      <c r="N85" s="5" t="s">
        <v>1022</v>
      </c>
      <c r="O85" t="s">
        <v>1022</v>
      </c>
    </row>
    <row r="86" spans="1:15" x14ac:dyDescent="0.25">
      <c r="A86" t="s">
        <v>1051</v>
      </c>
      <c r="B86" t="s">
        <v>1052</v>
      </c>
      <c r="C86" t="s">
        <v>6</v>
      </c>
      <c r="D86" t="s">
        <v>7</v>
      </c>
      <c r="E86" s="4">
        <v>98</v>
      </c>
      <c r="F86" s="5">
        <f>IF($E86="","",IFERROR(INDEX(PokemonRef!$C$2:$C$494,MATCH($E86,PokemonRef!$A$2:$A$494,0)),""))</f>
      </c>
      <c r="G86" s="5">
        <f>IF($E86="","",IFERROR(INDEX(PokemonRef!$B$2:$B$494,MATCH($E86,PokemonRef!$A$2:$A$494,0)),""))</f>
      </c>
      <c r="H86" s="4">
        <v>144</v>
      </c>
      <c r="I86" s="4">
        <v>5</v>
      </c>
      <c r="J86" s="4">
        <v>35</v>
      </c>
      <c r="K86" t="s">
        <v>14</v>
      </c>
      <c r="L86" t="s">
        <v>15</v>
      </c>
      <c r="M86" t="s">
        <v>1022</v>
      </c>
      <c r="N86" s="5">
        <f>IF($E86="","",TEXTJOIN("|",TRUE,K86:M86))</f>
      </c>
      <c r="O86" t="s">
        <v>1022</v>
      </c>
    </row>
    <row r="87" spans="1:15" x14ac:dyDescent="0.25">
      <c r="A87" t="s">
        <v>1051</v>
      </c>
      <c r="B87" t="s">
        <v>1052</v>
      </c>
      <c r="C87" t="s">
        <v>6</v>
      </c>
      <c r="D87" t="s">
        <v>7</v>
      </c>
      <c r="E87" s="4">
        <v>116</v>
      </c>
      <c r="F87" s="5">
        <f>IF($E87="","",IFERROR(INDEX(PokemonRef!$C$2:$C$494,MATCH($E87,PokemonRef!$A$2:$A$494,0)),""))</f>
      </c>
      <c r="G87" s="5">
        <f>IF($E87="","",IFERROR(INDEX(PokemonRef!$B$2:$B$494,MATCH($E87,PokemonRef!$A$2:$A$494,0)),""))</f>
      </c>
      <c r="H87" s="4">
        <v>144</v>
      </c>
      <c r="I87" s="4">
        <v>5</v>
      </c>
      <c r="J87" s="4">
        <v>35</v>
      </c>
      <c r="K87" t="s">
        <v>14</v>
      </c>
      <c r="L87" t="s">
        <v>15</v>
      </c>
      <c r="M87" t="s">
        <v>1022</v>
      </c>
      <c r="N87" s="5">
        <f>IF($E87="","",TEXTJOIN("|",TRUE,K87:M87))</f>
      </c>
      <c r="O87" t="s">
        <v>1022</v>
      </c>
    </row>
    <row r="88" spans="1:15" x14ac:dyDescent="0.25">
      <c r="A88" t="s">
        <v>1051</v>
      </c>
      <c r="B88" t="s">
        <v>1052</v>
      </c>
      <c r="C88" t="s">
        <v>6</v>
      </c>
      <c r="D88" t="s">
        <v>7</v>
      </c>
      <c r="E88" s="4">
        <v>129</v>
      </c>
      <c r="F88" s="5">
        <f>IF($E88="","",IFERROR(INDEX(PokemonRef!$C$2:$C$494,MATCH($E88,PokemonRef!$A$2:$A$494,0)),""))</f>
      </c>
      <c r="G88" s="5">
        <f>IF($E88="","",IFERROR(INDEX(PokemonRef!$B$2:$B$494,MATCH($E88,PokemonRef!$A$2:$A$494,0)),""))</f>
      </c>
      <c r="H88" s="4">
        <v>120</v>
      </c>
      <c r="I88" s="4">
        <v>5</v>
      </c>
      <c r="J88" s="4">
        <v>15</v>
      </c>
      <c r="K88" t="s">
        <v>14</v>
      </c>
      <c r="L88" t="s">
        <v>13</v>
      </c>
      <c r="M88" t="s">
        <v>1022</v>
      </c>
      <c r="N88" s="5">
        <f>IF($E88="","",TEXTJOIN("|",TRUE,K88:M88))</f>
      </c>
      <c r="O88" t="s">
        <v>1022</v>
      </c>
    </row>
    <row r="89" spans="1:15" x14ac:dyDescent="0.25">
      <c r="A89" t="s">
        <v>1051</v>
      </c>
      <c r="B89" t="s">
        <v>1052</v>
      </c>
      <c r="C89" t="s">
        <v>6</v>
      </c>
      <c r="D89" t="s">
        <v>7</v>
      </c>
      <c r="E89" s="4">
        <v>72</v>
      </c>
      <c r="F89" s="5">
        <f>IF($E89="","",IFERROR(INDEX(PokemonRef!$C$2:$C$494,MATCH($E89,PokemonRef!$A$2:$A$494,0)),""))</f>
      </c>
      <c r="G89" s="5">
        <f>IF($E89="","",IFERROR(INDEX(PokemonRef!$B$2:$B$494,MATCH($E89,PokemonRef!$A$2:$A$494,0)),""))</f>
      </c>
      <c r="H89" s="4">
        <v>100</v>
      </c>
      <c r="I89" s="4">
        <v>5</v>
      </c>
      <c r="J89" s="4">
        <v>40</v>
      </c>
      <c r="K89" t="s">
        <v>11</v>
      </c>
      <c r="L89" t="s">
        <v>1022</v>
      </c>
      <c r="M89" t="s">
        <v>1022</v>
      </c>
      <c r="N89" s="5">
        <f>IF($E89="","",TEXTJOIN("|",TRUE,K89:M89))</f>
      </c>
      <c r="O89" t="s">
        <v>1022</v>
      </c>
    </row>
    <row r="90" spans="1:15" x14ac:dyDescent="0.25">
      <c r="A90" t="s">
        <v>1051</v>
      </c>
      <c r="B90" t="s">
        <v>1052</v>
      </c>
      <c r="C90" t="s">
        <v>6</v>
      </c>
      <c r="D90" t="s">
        <v>7</v>
      </c>
      <c r="E90" s="4">
        <v>23</v>
      </c>
      <c r="F90" s="5">
        <f>IF($E90="","",IFERROR(INDEX(PokemonRef!$C$2:$C$494,MATCH($E90,PokemonRef!$A$2:$A$494,0)),""))</f>
      </c>
      <c r="G90" s="5">
        <f>IF($E90="","",IFERROR(INDEX(PokemonRef!$B$2:$B$494,MATCH($E90,PokemonRef!$A$2:$A$494,0)),""))</f>
      </c>
      <c r="H90" s="4">
        <v>40</v>
      </c>
      <c r="I90" s="4">
        <v>12</v>
      </c>
      <c r="J90" s="4">
        <v>15</v>
      </c>
      <c r="K90" t="s">
        <v>8</v>
      </c>
      <c r="L90" t="s">
        <v>1022</v>
      </c>
      <c r="M90" t="s">
        <v>1022</v>
      </c>
      <c r="N90" s="5">
        <f>IF($E90="","",TEXTJOIN("|",TRUE,K90:M90))</f>
      </c>
      <c r="O90" t="s">
        <v>1022</v>
      </c>
    </row>
    <row r="91" spans="1:15" x14ac:dyDescent="0.25">
      <c r="A91" t="s">
        <v>1051</v>
      </c>
      <c r="B91" t="s">
        <v>1052</v>
      </c>
      <c r="C91" t="s">
        <v>6</v>
      </c>
      <c r="D91" t="s">
        <v>7</v>
      </c>
      <c r="E91" s="4">
        <v>27</v>
      </c>
      <c r="F91" s="5">
        <f>IF($E91="","",IFERROR(INDEX(PokemonRef!$C$2:$C$494,MATCH($E91,PokemonRef!$A$2:$A$494,0)),""))</f>
      </c>
      <c r="G91" s="5">
        <f>IF($E91="","",IFERROR(INDEX(PokemonRef!$B$2:$B$494,MATCH($E91,PokemonRef!$A$2:$A$494,0)),""))</f>
      </c>
      <c r="H91" s="4">
        <v>40</v>
      </c>
      <c r="I91" s="4">
        <v>12</v>
      </c>
      <c r="J91" s="4">
        <v>15</v>
      </c>
      <c r="K91" t="s">
        <v>8</v>
      </c>
      <c r="L91" t="s">
        <v>1022</v>
      </c>
      <c r="M91" t="s">
        <v>1022</v>
      </c>
      <c r="N91" s="5">
        <f>IF($E91="","",TEXTJOIN("|",TRUE,K91:M91))</f>
      </c>
      <c r="O91" t="s">
        <v>1022</v>
      </c>
    </row>
    <row r="92" spans="1:15" x14ac:dyDescent="0.25">
      <c r="A92" t="s">
        <v>1051</v>
      </c>
      <c r="B92" t="s">
        <v>1052</v>
      </c>
      <c r="C92" t="s">
        <v>6</v>
      </c>
      <c r="D92" t="s">
        <v>7</v>
      </c>
      <c r="E92" s="4">
        <v>21</v>
      </c>
      <c r="F92" s="5">
        <f>IF($E92="","",IFERROR(INDEX(PokemonRef!$C$2:$C$494,MATCH($E92,PokemonRef!$A$2:$A$494,0)),""))</f>
      </c>
      <c r="G92" s="5">
        <f>IF($E92="","",IFERROR(INDEX(PokemonRef!$B$2:$B$494,MATCH($E92,PokemonRef!$A$2:$A$494,0)),""))</f>
      </c>
      <c r="H92" s="4">
        <v>35</v>
      </c>
      <c r="I92" s="4">
        <v>13</v>
      </c>
      <c r="J92" s="4">
        <v>17</v>
      </c>
      <c r="K92" t="s">
        <v>8</v>
      </c>
      <c r="L92" t="s">
        <v>1022</v>
      </c>
      <c r="M92" t="s">
        <v>1022</v>
      </c>
      <c r="N92" s="5">
        <f>IF($E92="","",TEXTJOIN("|",TRUE,K92:M92))</f>
      </c>
      <c r="O92" t="s">
        <v>1022</v>
      </c>
    </row>
    <row r="93" spans="1:15" x14ac:dyDescent="0.25">
      <c r="A93" t="s">
        <v>1051</v>
      </c>
      <c r="B93" t="s">
        <v>1052</v>
      </c>
      <c r="C93" t="s">
        <v>6</v>
      </c>
      <c r="D93" t="s">
        <v>7</v>
      </c>
      <c r="E93" s="4">
        <v>96</v>
      </c>
      <c r="F93" s="5">
        <f>IF($E93="","",IFERROR(INDEX(PokemonRef!$C$2:$C$494,MATCH($E93,PokemonRef!$A$2:$A$494,0)),""))</f>
      </c>
      <c r="G93" s="5">
        <f>IF($E93="","",IFERROR(INDEX(PokemonRef!$B$2:$B$494,MATCH($E93,PokemonRef!$A$2:$A$494,0)),""))</f>
      </c>
      <c r="H93" s="4">
        <v>25</v>
      </c>
      <c r="I93" s="4">
        <v>11</v>
      </c>
      <c r="J93" s="4">
        <v>15</v>
      </c>
      <c r="K93" t="s">
        <v>8</v>
      </c>
      <c r="L93" t="s">
        <v>1022</v>
      </c>
      <c r="M93" t="s">
        <v>1022</v>
      </c>
      <c r="N93" s="5">
        <f>IF($E93="","",TEXTJOIN("|",TRUE,K93:M93))</f>
      </c>
      <c r="O93" t="s">
        <v>1022</v>
      </c>
    </row>
    <row r="94" spans="1:15" x14ac:dyDescent="0.25">
      <c r="A94" t="s">
        <v>1051</v>
      </c>
      <c r="B94" t="s">
        <v>1052</v>
      </c>
      <c r="C94" t="s">
        <v>6</v>
      </c>
      <c r="D94" t="s">
        <v>7</v>
      </c>
      <c r="E94" s="4">
        <v>130</v>
      </c>
      <c r="F94" s="5">
        <f>IF($E94="","",IFERROR(INDEX(PokemonRef!$C$2:$C$494,MATCH($E94,PokemonRef!$A$2:$A$494,0)),""))</f>
      </c>
      <c r="G94" s="5">
        <f>IF($E94="","",IFERROR(INDEX(PokemonRef!$B$2:$B$494,MATCH($E94,PokemonRef!$A$2:$A$494,0)),""))</f>
      </c>
      <c r="H94" s="4">
        <v>15</v>
      </c>
      <c r="I94" s="4">
        <v>15</v>
      </c>
      <c r="J94" s="4">
        <v>25</v>
      </c>
      <c r="K94" t="s">
        <v>15</v>
      </c>
      <c r="L94" t="s">
        <v>1022</v>
      </c>
      <c r="M94" t="s">
        <v>1022</v>
      </c>
      <c r="N94" s="5">
        <f>IF($E94="","",TEXTJOIN("|",TRUE,K94:M94))</f>
      </c>
      <c r="O94" t="s">
        <v>1022</v>
      </c>
    </row>
    <row r="95" spans="1:15" x14ac:dyDescent="0.25">
      <c r="A95" t="s">
        <v>1051</v>
      </c>
      <c r="B95" t="s">
        <v>1052</v>
      </c>
      <c r="C95" t="s">
        <v>6</v>
      </c>
      <c r="D95" t="s">
        <v>7</v>
      </c>
      <c r="E95" s="4">
        <v>54</v>
      </c>
      <c r="F95" s="5">
        <f>IF($E95="","",IFERROR(INDEX(PokemonRef!$C$2:$C$494,MATCH($E95,PokemonRef!$A$2:$A$494,0)),""))</f>
      </c>
      <c r="G95" s="5">
        <f>IF($E95="","",IFERROR(INDEX(PokemonRef!$B$2:$B$494,MATCH($E95,PokemonRef!$A$2:$A$494,0)),""))</f>
      </c>
      <c r="H95" s="4">
        <v>1</v>
      </c>
      <c r="I95" s="4">
        <v>25</v>
      </c>
      <c r="J95" s="4">
        <v>35</v>
      </c>
      <c r="K95" t="s">
        <v>15</v>
      </c>
      <c r="L95" t="s">
        <v>1022</v>
      </c>
      <c r="M95" t="s">
        <v>1022</v>
      </c>
      <c r="N95" s="5">
        <f>IF($E95="","",TEXTJOIN("|",TRUE,K95:M95))</f>
      </c>
      <c r="O95" t="s">
        <v>1022</v>
      </c>
    </row>
    <row r="96" spans="1:15" x14ac:dyDescent="0.25">
      <c r="A96" t="s">
        <v>1051</v>
      </c>
      <c r="B96" t="s">
        <v>1052</v>
      </c>
      <c r="C96" t="s">
        <v>6</v>
      </c>
      <c r="D96" t="s">
        <v>7</v>
      </c>
      <c r="E96" s="4">
        <v>79</v>
      </c>
      <c r="F96" s="5">
        <f>IF($E96="","",IFERROR(INDEX(PokemonRef!$C$2:$C$494,MATCH($E96,PokemonRef!$A$2:$A$494,0)),""))</f>
      </c>
      <c r="G96" s="5">
        <f>IF($E96="","",IFERROR(INDEX(PokemonRef!$B$2:$B$494,MATCH($E96,PokemonRef!$A$2:$A$494,0)),""))</f>
      </c>
      <c r="H96" s="4">
        <v>1</v>
      </c>
      <c r="I96" s="4">
        <v>25</v>
      </c>
      <c r="J96" s="4">
        <v>35</v>
      </c>
      <c r="K96" t="s">
        <v>15</v>
      </c>
      <c r="L96" t="s">
        <v>1022</v>
      </c>
      <c r="M96" t="s">
        <v>1022</v>
      </c>
      <c r="N96" s="5">
        <f>IF($E96="","",TEXTJOIN("|",TRUE,K96:M96))</f>
      </c>
      <c r="O96" t="s">
        <v>1022</v>
      </c>
    </row>
    <row r="97" spans="1:15" x14ac:dyDescent="0.25">
      <c r="A97" t="s">
        <v>1053</v>
      </c>
      <c r="B97" t="s">
        <v>1054</v>
      </c>
      <c r="C97" t="s">
        <v>12</v>
      </c>
      <c r="D97" t="s">
        <v>7</v>
      </c>
      <c r="E97" s="4">
        <v>50</v>
      </c>
      <c r="F97" s="5">
        <f>IF($E97="","",IFERROR(INDEX(PokemonRef!$C$2:$C$494,MATCH($E97,PokemonRef!$A$2:$A$494,0)),""))</f>
      </c>
      <c r="G97" s="5">
        <f>IF($E97="","",IFERROR(INDEX(PokemonRef!$B$2:$B$494,MATCH($E97,PokemonRef!$A$2:$A$494,0)),""))</f>
      </c>
      <c r="H97" s="4">
        <v>95</v>
      </c>
      <c r="I97" s="4">
        <v>15</v>
      </c>
      <c r="J97" s="4">
        <v>22</v>
      </c>
      <c r="K97" t="s">
        <v>8</v>
      </c>
      <c r="L97" t="s">
        <v>1022</v>
      </c>
      <c r="M97" t="s">
        <v>1022</v>
      </c>
      <c r="N97" s="5">
        <f>IF($E97="","",TEXTJOIN("|",TRUE,K97:M97))</f>
      </c>
      <c r="O97" t="s">
        <v>1022</v>
      </c>
    </row>
    <row r="98" spans="1:15" x14ac:dyDescent="0.25">
      <c r="A98" t="s">
        <v>1053</v>
      </c>
      <c r="B98" t="s">
        <v>1054</v>
      </c>
      <c r="C98" t="s">
        <v>12</v>
      </c>
      <c r="D98" t="s">
        <v>7</v>
      </c>
      <c r="E98" s="4">
        <v>51</v>
      </c>
      <c r="F98" s="5">
        <f>IF($E98="","",IFERROR(INDEX(PokemonRef!$C$2:$C$494,MATCH($E98,PokemonRef!$A$2:$A$494,0)),""))</f>
      </c>
      <c r="G98" s="5">
        <f>IF($E98="","",IFERROR(INDEX(PokemonRef!$B$2:$B$494,MATCH($E98,PokemonRef!$A$2:$A$494,0)),""))</f>
      </c>
      <c r="H98" s="4">
        <v>5</v>
      </c>
      <c r="I98" s="4">
        <v>29</v>
      </c>
      <c r="J98" s="4">
        <v>31</v>
      </c>
      <c r="K98" t="s">
        <v>8</v>
      </c>
      <c r="L98" t="s">
        <v>1022</v>
      </c>
      <c r="M98" t="s">
        <v>1022</v>
      </c>
      <c r="N98" s="5">
        <f>IF($E98="","",TEXTJOIN("|",TRUE,K98:M98))</f>
      </c>
      <c r="O98" t="s">
        <v>1022</v>
      </c>
    </row>
    <row r="99" spans="1:15" x14ac:dyDescent="0.25">
      <c r="A99" t="s">
        <v>1055</v>
      </c>
      <c r="B99" t="s">
        <v>1056</v>
      </c>
      <c r="C99" t="s">
        <v>6</v>
      </c>
      <c r="D99" t="s">
        <v>7</v>
      </c>
      <c r="E99" s="4">
        <v>19</v>
      </c>
      <c r="F99" s="5">
        <f>IF($E99="","",IFERROR(INDEX(PokemonRef!$C$2:$C$494,MATCH($E99,PokemonRef!$A$2:$A$494,0)),""))</f>
      </c>
      <c r="G99" s="5">
        <f>IF($E99="","",IFERROR(INDEX(PokemonRef!$B$2:$B$494,MATCH($E99,PokemonRef!$A$2:$A$494,0)),""))</f>
      </c>
      <c r="H99" s="4">
        <v>40</v>
      </c>
      <c r="I99" s="4">
        <v>14</v>
      </c>
      <c r="J99" s="4">
        <v>17</v>
      </c>
      <c r="K99" t="s">
        <v>8</v>
      </c>
      <c r="L99" t="s">
        <v>1022</v>
      </c>
      <c r="M99" t="s">
        <v>1022</v>
      </c>
      <c r="N99" s="5">
        <f>IF($E99="","",TEXTJOIN("|",TRUE,K99:M99))</f>
      </c>
      <c r="O99" t="s">
        <v>1022</v>
      </c>
    </row>
    <row r="100" spans="1:15" x14ac:dyDescent="0.25">
      <c r="A100" t="s">
        <v>1055</v>
      </c>
      <c r="B100" t="s">
        <v>1056</v>
      </c>
      <c r="C100" t="s">
        <v>6</v>
      </c>
      <c r="D100" t="s">
        <v>7</v>
      </c>
      <c r="E100" s="4">
        <v>21</v>
      </c>
      <c r="F100" s="5">
        <f>IF($E100="","",IFERROR(INDEX(PokemonRef!$C$2:$C$494,MATCH($E100,PokemonRef!$A$2:$A$494,0)),""))</f>
      </c>
      <c r="G100" s="5">
        <f>IF($E100="","",IFERROR(INDEX(PokemonRef!$B$2:$B$494,MATCH($E100,PokemonRef!$A$2:$A$494,0)),""))</f>
      </c>
      <c r="H100" s="4">
        <v>35</v>
      </c>
      <c r="I100" s="4">
        <v>13</v>
      </c>
      <c r="J100" s="4">
        <v>17</v>
      </c>
      <c r="K100" t="s">
        <v>8</v>
      </c>
      <c r="L100" t="s">
        <v>1022</v>
      </c>
      <c r="M100" t="s">
        <v>1022</v>
      </c>
      <c r="N100" s="5">
        <f>IF($E100="","",TEXTJOIN("|",TRUE,K100:M100))</f>
      </c>
      <c r="O100" t="s">
        <v>1022</v>
      </c>
    </row>
    <row r="101" spans="1:15" x14ac:dyDescent="0.25">
      <c r="A101" t="s">
        <v>1055</v>
      </c>
      <c r="B101" t="s">
        <v>1056</v>
      </c>
      <c r="C101" t="s">
        <v>6</v>
      </c>
      <c r="D101" t="s">
        <v>7</v>
      </c>
      <c r="E101" s="4">
        <v>23</v>
      </c>
      <c r="F101" s="5">
        <f>IF($E101="","",IFERROR(INDEX(PokemonRef!$C$2:$C$494,MATCH($E101,PokemonRef!$A$2:$A$494,0)),""))</f>
      </c>
      <c r="G101" s="5">
        <f>IF($E101="","",IFERROR(INDEX(PokemonRef!$B$2:$B$494,MATCH($E101,PokemonRef!$A$2:$A$494,0)),""))</f>
      </c>
      <c r="H101" s="4">
        <v>25</v>
      </c>
      <c r="I101" s="4">
        <v>11</v>
      </c>
      <c r="J101" s="4">
        <v>17</v>
      </c>
      <c r="K101" t="s">
        <v>8</v>
      </c>
      <c r="L101" t="s">
        <v>1022</v>
      </c>
      <c r="M101" t="s">
        <v>1022</v>
      </c>
      <c r="N101" s="5">
        <f>IF($E101="","",TEXTJOIN("|",TRUE,K101:M101))</f>
      </c>
      <c r="O101" t="s">
        <v>1022</v>
      </c>
    </row>
    <row r="102" spans="1:15" x14ac:dyDescent="0.25">
      <c r="A102" t="s">
        <v>1055</v>
      </c>
      <c r="B102" t="s">
        <v>1056</v>
      </c>
      <c r="C102" t="s">
        <v>6</v>
      </c>
      <c r="D102" t="s">
        <v>7</v>
      </c>
      <c r="E102" s="4">
        <v>27</v>
      </c>
      <c r="F102" s="5">
        <f>IF($E102="","",IFERROR(INDEX(PokemonRef!$C$2:$C$494,MATCH($E102,PokemonRef!$A$2:$A$494,0)),""))</f>
      </c>
      <c r="G102" s="5">
        <f>IF($E102="","",IFERROR(INDEX(PokemonRef!$B$2:$B$494,MATCH($E102,PokemonRef!$A$2:$A$494,0)),""))</f>
      </c>
      <c r="H102" s="4">
        <v>25</v>
      </c>
      <c r="I102" s="4">
        <v>11</v>
      </c>
      <c r="J102" s="4">
        <v>17</v>
      </c>
      <c r="K102" t="s">
        <v>8</v>
      </c>
      <c r="L102" t="s">
        <v>1022</v>
      </c>
      <c r="M102" t="s">
        <v>1022</v>
      </c>
      <c r="N102" s="5">
        <f>IF($E102="","",TEXTJOIN("|",TRUE,K102:M102))</f>
      </c>
      <c r="O102" t="s">
        <v>1022</v>
      </c>
    </row>
    <row r="103" spans="1:15" x14ac:dyDescent="0.25">
      <c r="A103" t="s">
        <v>1057</v>
      </c>
      <c r="B103" t="s">
        <v>1058</v>
      </c>
      <c r="C103" t="s">
        <v>6</v>
      </c>
      <c r="D103" t="s">
        <v>7</v>
      </c>
      <c r="E103" s="4">
        <v>98</v>
      </c>
      <c r="F103" s="5">
        <f>IF($E103="","",IFERROR(INDEX(PokemonRef!$C$2:$C$494,MATCH($E103,PokemonRef!$A$2:$A$494,0)),""))</f>
      </c>
      <c r="G103" s="5">
        <f>IF($E103="","",IFERROR(INDEX(PokemonRef!$B$2:$B$494,MATCH($E103,PokemonRef!$A$2:$A$494,0)),""))</f>
      </c>
      <c r="H103" s="4">
        <v>144</v>
      </c>
      <c r="I103" s="4">
        <v>5</v>
      </c>
      <c r="J103" s="4">
        <v>35</v>
      </c>
      <c r="K103" t="s">
        <v>14</v>
      </c>
      <c r="L103" t="s">
        <v>15</v>
      </c>
      <c r="M103" t="s">
        <v>1022</v>
      </c>
      <c r="N103" s="5">
        <f>IF($E103="","",TEXTJOIN("|",TRUE,K103:M103))</f>
      </c>
      <c r="O103" t="s">
        <v>1022</v>
      </c>
    </row>
    <row r="104" spans="1:15" x14ac:dyDescent="0.25">
      <c r="A104" t="s">
        <v>1057</v>
      </c>
      <c r="B104" t="s">
        <v>1058</v>
      </c>
      <c r="C104" t="s">
        <v>6</v>
      </c>
      <c r="D104" t="s">
        <v>7</v>
      </c>
      <c r="E104" s="4">
        <v>116</v>
      </c>
      <c r="F104" s="5">
        <f>IF($E104="","",IFERROR(INDEX(PokemonRef!$C$2:$C$494,MATCH($E104,PokemonRef!$A$2:$A$494,0)),""))</f>
      </c>
      <c r="G104" s="5">
        <f>IF($E104="","",IFERROR(INDEX(PokemonRef!$B$2:$B$494,MATCH($E104,PokemonRef!$A$2:$A$494,0)),""))</f>
      </c>
      <c r="H104" s="4">
        <v>144</v>
      </c>
      <c r="I104" s="4">
        <v>5</v>
      </c>
      <c r="J104" s="4">
        <v>35</v>
      </c>
      <c r="K104" t="s">
        <v>14</v>
      </c>
      <c r="L104" t="s">
        <v>15</v>
      </c>
      <c r="M104" t="s">
        <v>1022</v>
      </c>
      <c r="N104" s="5">
        <f>IF($E104="","",TEXTJOIN("|",TRUE,K104:M104))</f>
      </c>
      <c r="O104" t="s">
        <v>1022</v>
      </c>
    </row>
    <row r="105" spans="1:15" x14ac:dyDescent="0.25">
      <c r="A105" t="s">
        <v>1057</v>
      </c>
      <c r="B105" t="s">
        <v>1058</v>
      </c>
      <c r="C105" t="s">
        <v>6</v>
      </c>
      <c r="D105" t="s">
        <v>7</v>
      </c>
      <c r="E105" s="4">
        <v>129</v>
      </c>
      <c r="F105" s="5">
        <f>IF($E105="","",IFERROR(INDEX(PokemonRef!$C$2:$C$494,MATCH($E105,PokemonRef!$A$2:$A$494,0)),""))</f>
      </c>
      <c r="G105" s="5">
        <f>IF($E105="","",IFERROR(INDEX(PokemonRef!$B$2:$B$494,MATCH($E105,PokemonRef!$A$2:$A$494,0)),""))</f>
      </c>
      <c r="H105" s="4">
        <v>120</v>
      </c>
      <c r="I105" s="4">
        <v>5</v>
      </c>
      <c r="J105" s="4">
        <v>15</v>
      </c>
      <c r="K105" t="s">
        <v>14</v>
      </c>
      <c r="L105" t="s">
        <v>13</v>
      </c>
      <c r="M105" t="s">
        <v>1022</v>
      </c>
      <c r="N105" s="5">
        <f>IF($E105="","",TEXTJOIN("|",TRUE,K105:M105))</f>
      </c>
      <c r="O105" t="s">
        <v>1022</v>
      </c>
    </row>
    <row r="106" spans="1:15" x14ac:dyDescent="0.25">
      <c r="A106" t="s">
        <v>1057</v>
      </c>
      <c r="B106" t="s">
        <v>1058</v>
      </c>
      <c r="C106" t="s">
        <v>6</v>
      </c>
      <c r="D106" t="s">
        <v>7</v>
      </c>
      <c r="E106" s="4">
        <v>72</v>
      </c>
      <c r="F106" s="5">
        <f>IF($E106="","",IFERROR(INDEX(PokemonRef!$C$2:$C$494,MATCH($E106,PokemonRef!$A$2:$A$494,0)),""))</f>
      </c>
      <c r="G106" s="5">
        <f>IF($E106="","",IFERROR(INDEX(PokemonRef!$B$2:$B$494,MATCH($E106,PokemonRef!$A$2:$A$494,0)),""))</f>
      </c>
      <c r="H106" s="4">
        <v>100</v>
      </c>
      <c r="I106" s="4">
        <v>5</v>
      </c>
      <c r="J106" s="4">
        <v>40</v>
      </c>
      <c r="K106" t="s">
        <v>11</v>
      </c>
      <c r="L106" t="s">
        <v>1022</v>
      </c>
      <c r="M106" t="s">
        <v>1022</v>
      </c>
      <c r="N106" s="5">
        <f>IF($E106="","",TEXTJOIN("|",TRUE,K106:M106))</f>
      </c>
      <c r="O106" t="s">
        <v>1022</v>
      </c>
    </row>
    <row r="107" spans="1:15" x14ac:dyDescent="0.25">
      <c r="A107" t="s">
        <v>1057</v>
      </c>
      <c r="B107" t="s">
        <v>1058</v>
      </c>
      <c r="C107" t="s">
        <v>6</v>
      </c>
      <c r="D107" t="s">
        <v>7</v>
      </c>
      <c r="E107" s="4">
        <v>100</v>
      </c>
      <c r="F107" s="5">
        <f>IF($E107="","",IFERROR(INDEX(PokemonRef!$C$2:$C$494,MATCH($E107,PokemonRef!$A$2:$A$494,0)),""))</f>
      </c>
      <c r="G107" s="5">
        <f>IF($E107="","",IFERROR(INDEX(PokemonRef!$B$2:$B$494,MATCH($E107,PokemonRef!$A$2:$A$494,0)),""))</f>
      </c>
      <c r="H107" s="4">
        <v>40</v>
      </c>
      <c r="I107" s="4">
        <v>14</v>
      </c>
      <c r="J107" s="4">
        <v>17</v>
      </c>
      <c r="K107" t="s">
        <v>8</v>
      </c>
      <c r="L107" t="s">
        <v>1022</v>
      </c>
      <c r="M107" t="s">
        <v>1022</v>
      </c>
      <c r="N107" s="5">
        <f>IF($E107="","",TEXTJOIN("|",TRUE,K107:M107))</f>
      </c>
      <c r="O107" t="s">
        <v>1022</v>
      </c>
    </row>
    <row r="108" spans="1:15" x14ac:dyDescent="0.25">
      <c r="A108" t="s">
        <v>1057</v>
      </c>
      <c r="B108" t="s">
        <v>1058</v>
      </c>
      <c r="C108" t="s">
        <v>6</v>
      </c>
      <c r="D108" t="s">
        <v>7</v>
      </c>
      <c r="E108" s="4">
        <v>21</v>
      </c>
      <c r="F108" s="5">
        <f>IF($E108="","",IFERROR(INDEX(PokemonRef!$C$2:$C$494,MATCH($E108,PokemonRef!$A$2:$A$494,0)),""))</f>
      </c>
      <c r="G108" s="5">
        <f>IF($E108="","",IFERROR(INDEX(PokemonRef!$B$2:$B$494,MATCH($E108,PokemonRef!$A$2:$A$494,0)),""))</f>
      </c>
      <c r="H108" s="4">
        <v>35</v>
      </c>
      <c r="I108" s="4">
        <v>13</v>
      </c>
      <c r="J108" s="4">
        <v>17</v>
      </c>
      <c r="K108" t="s">
        <v>8</v>
      </c>
      <c r="L108" t="s">
        <v>1022</v>
      </c>
      <c r="M108" t="s">
        <v>1022</v>
      </c>
      <c r="N108" s="5">
        <f>IF($E108="","",TEXTJOIN("|",TRUE,K108:M108))</f>
      </c>
      <c r="O108" t="s">
        <v>1022</v>
      </c>
    </row>
    <row r="109" spans="1:15" x14ac:dyDescent="0.25">
      <c r="A109" t="s">
        <v>1057</v>
      </c>
      <c r="B109" t="s">
        <v>1058</v>
      </c>
      <c r="C109" t="s">
        <v>6</v>
      </c>
      <c r="D109" t="s">
        <v>7</v>
      </c>
      <c r="E109" s="4">
        <v>23</v>
      </c>
      <c r="F109" s="5">
        <f>IF($E109="","",IFERROR(INDEX(PokemonRef!$C$2:$C$494,MATCH($E109,PokemonRef!$A$2:$A$494,0)),""))</f>
      </c>
      <c r="G109" s="5">
        <f>IF($E109="","",IFERROR(INDEX(PokemonRef!$B$2:$B$494,MATCH($E109,PokemonRef!$A$2:$A$494,0)),""))</f>
      </c>
      <c r="H109" s="4">
        <v>25</v>
      </c>
      <c r="I109" s="4">
        <v>11</v>
      </c>
      <c r="J109" s="4">
        <v>17</v>
      </c>
      <c r="K109" t="s">
        <v>8</v>
      </c>
      <c r="L109" t="s">
        <v>1022</v>
      </c>
      <c r="M109" t="s">
        <v>1022</v>
      </c>
      <c r="N109" s="5">
        <f>IF($E109="","",TEXTJOIN("|",TRUE,K109:M109))</f>
      </c>
      <c r="O109" t="s">
        <v>1022</v>
      </c>
    </row>
    <row r="110" spans="1:15" x14ac:dyDescent="0.25">
      <c r="A110" t="s">
        <v>1057</v>
      </c>
      <c r="B110" t="s">
        <v>1058</v>
      </c>
      <c r="C110" t="s">
        <v>6</v>
      </c>
      <c r="D110" t="s">
        <v>7</v>
      </c>
      <c r="E110" s="4">
        <v>27</v>
      </c>
      <c r="F110" s="5">
        <f>IF($E110="","",IFERROR(INDEX(PokemonRef!$C$2:$C$494,MATCH($E110,PokemonRef!$A$2:$A$494,0)),""))</f>
      </c>
      <c r="G110" s="5">
        <f>IF($E110="","",IFERROR(INDEX(PokemonRef!$B$2:$B$494,MATCH($E110,PokemonRef!$A$2:$A$494,0)),""))</f>
      </c>
      <c r="H110" s="4">
        <v>25</v>
      </c>
      <c r="I110" s="4">
        <v>11</v>
      </c>
      <c r="J110" s="4">
        <v>17</v>
      </c>
      <c r="K110" t="s">
        <v>8</v>
      </c>
      <c r="L110" t="s">
        <v>1022</v>
      </c>
      <c r="M110" t="s">
        <v>1022</v>
      </c>
      <c r="N110" s="5">
        <f>IF($E110="","",TEXTJOIN("|",TRUE,K110:M110))</f>
      </c>
      <c r="O110" t="s">
        <v>1022</v>
      </c>
    </row>
    <row r="111" spans="1:15" x14ac:dyDescent="0.25">
      <c r="A111" t="s">
        <v>1057</v>
      </c>
      <c r="B111" t="s">
        <v>1058</v>
      </c>
      <c r="C111" t="s">
        <v>6</v>
      </c>
      <c r="D111" t="s">
        <v>7</v>
      </c>
      <c r="E111" s="4">
        <v>130</v>
      </c>
      <c r="F111" s="5">
        <f>IF($E111="","",IFERROR(INDEX(PokemonRef!$C$2:$C$494,MATCH($E111,PokemonRef!$A$2:$A$494,0)),""))</f>
      </c>
      <c r="G111" s="5">
        <f>IF($E111="","",IFERROR(INDEX(PokemonRef!$B$2:$B$494,MATCH($E111,PokemonRef!$A$2:$A$494,0)),""))</f>
      </c>
      <c r="H111" s="4">
        <v>15</v>
      </c>
      <c r="I111" s="4">
        <v>15</v>
      </c>
      <c r="J111" s="4">
        <v>25</v>
      </c>
      <c r="K111" t="s">
        <v>15</v>
      </c>
      <c r="L111" t="s">
        <v>1022</v>
      </c>
      <c r="M111" t="s">
        <v>1022</v>
      </c>
      <c r="N111" s="5">
        <f>IF($E111="","",TEXTJOIN("|",TRUE,K111:M111))</f>
      </c>
      <c r="O111" t="s">
        <v>1022</v>
      </c>
    </row>
    <row r="112" spans="1:15" x14ac:dyDescent="0.25">
      <c r="A112" t="s">
        <v>1057</v>
      </c>
      <c r="B112" t="s">
        <v>1058</v>
      </c>
      <c r="C112" t="s">
        <v>6</v>
      </c>
      <c r="D112" t="s">
        <v>7</v>
      </c>
      <c r="E112" s="4">
        <v>54</v>
      </c>
      <c r="F112" s="5">
        <f>IF($E112="","",IFERROR(INDEX(PokemonRef!$C$2:$C$494,MATCH($E112,PokemonRef!$A$2:$A$494,0)),""))</f>
      </c>
      <c r="G112" s="5">
        <f>IF($E112="","",IFERROR(INDEX(PokemonRef!$B$2:$B$494,MATCH($E112,PokemonRef!$A$2:$A$494,0)),""))</f>
      </c>
      <c r="H112" s="4">
        <v>1</v>
      </c>
      <c r="I112" s="4">
        <v>25</v>
      </c>
      <c r="J112" s="4">
        <v>35</v>
      </c>
      <c r="K112" t="s">
        <v>15</v>
      </c>
      <c r="L112" t="s">
        <v>1022</v>
      </c>
      <c r="M112" t="s">
        <v>1022</v>
      </c>
      <c r="N112" s="5">
        <f>IF($E112="","",TEXTJOIN("|",TRUE,K112:M112))</f>
      </c>
      <c r="O112" t="s">
        <v>1022</v>
      </c>
    </row>
    <row r="113" spans="1:15" x14ac:dyDescent="0.25">
      <c r="A113" t="s">
        <v>1057</v>
      </c>
      <c r="B113" t="s">
        <v>1058</v>
      </c>
      <c r="C113" t="s">
        <v>6</v>
      </c>
      <c r="D113" t="s">
        <v>7</v>
      </c>
      <c r="E113" s="4">
        <v>79</v>
      </c>
      <c r="F113" s="5">
        <f>IF($E113="","",IFERROR(INDEX(PokemonRef!$C$2:$C$494,MATCH($E113,PokemonRef!$A$2:$A$494,0)),""))</f>
      </c>
      <c r="G113" s="5">
        <f>IF($E113="","",IFERROR(INDEX(PokemonRef!$B$2:$B$494,MATCH($E113,PokemonRef!$A$2:$A$494,0)),""))</f>
      </c>
      <c r="H113" s="4">
        <v>1</v>
      </c>
      <c r="I113" s="4">
        <v>25</v>
      </c>
      <c r="J113" s="4">
        <v>35</v>
      </c>
      <c r="K113" t="s">
        <v>15</v>
      </c>
      <c r="L113" t="s">
        <v>1022</v>
      </c>
      <c r="M113" t="s">
        <v>1022</v>
      </c>
      <c r="N113" s="5">
        <f>IF($E113="","",TEXTJOIN("|",TRUE,K113:M113))</f>
      </c>
      <c r="O113" t="s">
        <v>1022</v>
      </c>
    </row>
    <row r="114" spans="1:15" x14ac:dyDescent="0.25">
      <c r="A114" t="s">
        <v>1059</v>
      </c>
      <c r="B114" t="s">
        <v>1060</v>
      </c>
      <c r="C114" t="s">
        <v>12</v>
      </c>
      <c r="D114" t="s">
        <v>7</v>
      </c>
      <c r="E114" s="4">
        <v>101</v>
      </c>
      <c r="F114" s="5">
        <f>IF($E114="","",IFERROR(INDEX(PokemonRef!$C$2:$C$494,MATCH($E114,PokemonRef!$A$2:$A$494,0)),""))</f>
      </c>
      <c r="G114" s="5">
        <f>IF($E114="","",IFERROR(INDEX(PokemonRef!$B$2:$B$494,MATCH($E114,PokemonRef!$A$2:$A$494,0)),""))</f>
      </c>
      <c r="H114" s="4">
        <v>200</v>
      </c>
      <c r="I114" s="4">
        <v>34</v>
      </c>
      <c r="J114" s="4">
        <v>34</v>
      </c>
      <c r="K114" t="s">
        <v>17</v>
      </c>
      <c r="L114" t="s">
        <v>1022</v>
      </c>
      <c r="M114" t="s">
        <v>1022</v>
      </c>
      <c r="N114" s="5">
        <f>IF($E114="","",TEXTJOIN("|",TRUE,K114:M114))</f>
      </c>
      <c r="O114" t="s">
        <v>1022</v>
      </c>
    </row>
    <row r="115" spans="1:15" x14ac:dyDescent="0.25">
      <c r="A115" t="s">
        <v>1059</v>
      </c>
      <c r="B115" t="s">
        <v>1060</v>
      </c>
      <c r="C115" t="s">
        <v>12</v>
      </c>
      <c r="D115" t="s">
        <v>7</v>
      </c>
      <c r="E115" s="4">
        <v>145</v>
      </c>
      <c r="F115" s="5">
        <f>IF($E115="","",IFERROR(INDEX(PokemonRef!$C$2:$C$494,MATCH($E115,PokemonRef!$A$2:$A$494,0)),""))</f>
      </c>
      <c r="G115" s="5">
        <f>IF($E115="","",IFERROR(INDEX(PokemonRef!$B$2:$B$494,MATCH($E115,PokemonRef!$A$2:$A$494,0)),""))</f>
      </c>
      <c r="H115" s="4">
        <v>100</v>
      </c>
      <c r="I115" s="4">
        <v>50</v>
      </c>
      <c r="J115" s="4">
        <v>50</v>
      </c>
      <c r="K115" t="s">
        <v>17</v>
      </c>
      <c r="L115" t="s">
        <v>1022</v>
      </c>
      <c r="M115" t="s">
        <v>1022</v>
      </c>
      <c r="N115" s="5">
        <f>IF($E115="","",TEXTJOIN("|",TRUE,K115:M115))</f>
      </c>
      <c r="O115" t="s">
        <v>1022</v>
      </c>
    </row>
    <row r="116" spans="1:15" x14ac:dyDescent="0.25">
      <c r="A116" t="s">
        <v>1059</v>
      </c>
      <c r="B116" t="s">
        <v>1060</v>
      </c>
      <c r="C116" t="s">
        <v>12</v>
      </c>
      <c r="D116" t="s">
        <v>7</v>
      </c>
      <c r="E116" s="4">
        <v>81</v>
      </c>
      <c r="F116" s="5">
        <f>IF($E116="","",IFERROR(INDEX(PokemonRef!$C$2:$C$494,MATCH($E116,PokemonRef!$A$2:$A$494,0)),""))</f>
      </c>
      <c r="G116" s="5">
        <f>IF($E116="","",IFERROR(INDEX(PokemonRef!$B$2:$B$494,MATCH($E116,PokemonRef!$A$2:$A$494,0)),""))</f>
      </c>
      <c r="H116" s="4">
        <v>30</v>
      </c>
      <c r="I116" s="4">
        <v>22</v>
      </c>
      <c r="J116" s="4">
        <v>25</v>
      </c>
      <c r="K116" t="s">
        <v>8</v>
      </c>
      <c r="L116" t="s">
        <v>1022</v>
      </c>
      <c r="M116" t="s">
        <v>1022</v>
      </c>
      <c r="N116" s="5">
        <f>IF($E116="","",TEXTJOIN("|",TRUE,K116:M116))</f>
      </c>
      <c r="O116" t="s">
        <v>1022</v>
      </c>
    </row>
    <row r="117" spans="1:15" x14ac:dyDescent="0.25">
      <c r="A117" t="s">
        <v>1059</v>
      </c>
      <c r="B117" t="s">
        <v>1060</v>
      </c>
      <c r="C117" t="s">
        <v>12</v>
      </c>
      <c r="D117" t="s">
        <v>7</v>
      </c>
      <c r="E117" s="4">
        <v>100</v>
      </c>
      <c r="F117" s="5">
        <f>IF($E117="","",IFERROR(INDEX(PokemonRef!$C$2:$C$494,MATCH($E117,PokemonRef!$A$2:$A$494,0)),""))</f>
      </c>
      <c r="G117" s="5">
        <f>IF($E117="","",IFERROR(INDEX(PokemonRef!$B$2:$B$494,MATCH($E117,PokemonRef!$A$2:$A$494,0)),""))</f>
      </c>
      <c r="H117" s="4">
        <v>30</v>
      </c>
      <c r="I117" s="4">
        <v>22</v>
      </c>
      <c r="J117" s="4">
        <v>25</v>
      </c>
      <c r="K117" t="s">
        <v>8</v>
      </c>
      <c r="L117" t="s">
        <v>1022</v>
      </c>
      <c r="M117" t="s">
        <v>1022</v>
      </c>
      <c r="N117" s="5">
        <f>IF($E117="","",TEXTJOIN("|",TRUE,K117:M117))</f>
      </c>
      <c r="O117" t="s">
        <v>1022</v>
      </c>
    </row>
    <row r="118" spans="1:15" x14ac:dyDescent="0.25">
      <c r="A118" t="s">
        <v>1059</v>
      </c>
      <c r="B118" t="s">
        <v>1060</v>
      </c>
      <c r="C118" t="s">
        <v>12</v>
      </c>
      <c r="D118" t="s">
        <v>7</v>
      </c>
      <c r="E118" s="4">
        <v>25</v>
      </c>
      <c r="F118" s="5">
        <f>IF($E118="","",IFERROR(INDEX(PokemonRef!$C$2:$C$494,MATCH($E118,PokemonRef!$A$2:$A$494,0)),""))</f>
      </c>
      <c r="G118" s="5">
        <f>IF($E118="","",IFERROR(INDEX(PokemonRef!$B$2:$B$494,MATCH($E118,PokemonRef!$A$2:$A$494,0)),""))</f>
      </c>
      <c r="H118" s="4">
        <v>25</v>
      </c>
      <c r="I118" s="4">
        <v>22</v>
      </c>
      <c r="J118" s="4">
        <v>26</v>
      </c>
      <c r="K118" t="s">
        <v>8</v>
      </c>
      <c r="L118" t="s">
        <v>1022</v>
      </c>
      <c r="M118" t="s">
        <v>1022</v>
      </c>
      <c r="N118" s="5">
        <f>IF($E118="","",TEXTJOIN("|",TRUE,K118:M118))</f>
      </c>
      <c r="O118" t="s">
        <v>1022</v>
      </c>
    </row>
    <row r="119" spans="1:15" x14ac:dyDescent="0.25">
      <c r="A119" t="s">
        <v>1059</v>
      </c>
      <c r="B119" t="s">
        <v>1060</v>
      </c>
      <c r="C119" t="s">
        <v>12</v>
      </c>
      <c r="D119" t="s">
        <v>7</v>
      </c>
      <c r="E119" s="4">
        <v>82</v>
      </c>
      <c r="F119" s="5">
        <f>IF($E119="","",IFERROR(INDEX(PokemonRef!$C$2:$C$494,MATCH($E119,PokemonRef!$A$2:$A$494,0)),""))</f>
      </c>
      <c r="G119" s="5">
        <f>IF($E119="","",IFERROR(INDEX(PokemonRef!$B$2:$B$494,MATCH($E119,PokemonRef!$A$2:$A$494,0)),""))</f>
      </c>
      <c r="H119" s="4">
        <v>15</v>
      </c>
      <c r="I119" s="4">
        <v>31</v>
      </c>
      <c r="J119" s="4">
        <v>34</v>
      </c>
      <c r="K119" t="s">
        <v>8</v>
      </c>
      <c r="L119" t="s">
        <v>1022</v>
      </c>
      <c r="M119" t="s">
        <v>1022</v>
      </c>
      <c r="N119" s="5">
        <f>IF($E119="","",TEXTJOIN("|",TRUE,K119:M119))</f>
      </c>
      <c r="O119" t="s">
        <v>1022</v>
      </c>
    </row>
    <row r="120" spans="1:15" x14ac:dyDescent="0.25">
      <c r="A120" t="s">
        <v>1059</v>
      </c>
      <c r="B120" t="s">
        <v>1060</v>
      </c>
      <c r="C120" t="s">
        <v>12</v>
      </c>
      <c r="D120" t="s">
        <v>7</v>
      </c>
      <c r="E120" s="4">
        <v>125</v>
      </c>
      <c r="F120" s="5">
        <f>IF($E120="","",IFERROR(INDEX(PokemonRef!$C$2:$C$494,MATCH($E120,PokemonRef!$A$2:$A$494,0)),""))</f>
      </c>
      <c r="G120" s="5">
        <f>IF($E120="","",IFERROR(INDEX(PokemonRef!$B$2:$B$494,MATCH($E120,PokemonRef!$A$2:$A$494,0)),""))</f>
      </c>
      <c r="H120" s="4">
        <v>5</v>
      </c>
      <c r="I120" s="4">
        <v>32</v>
      </c>
      <c r="J120" s="4">
        <v>35</v>
      </c>
      <c r="K120" t="s">
        <v>8</v>
      </c>
      <c r="L120" t="s">
        <v>1022</v>
      </c>
      <c r="M120" t="s">
        <v>1022</v>
      </c>
      <c r="N120" s="5">
        <f>IF($E120="","",TEXTJOIN("|",TRUE,K120:M120))</f>
      </c>
      <c r="O120" t="s">
        <v>1022</v>
      </c>
    </row>
    <row r="121" spans="1:15" x14ac:dyDescent="0.25">
      <c r="A121" t="s">
        <v>1061</v>
      </c>
      <c r="B121" t="s">
        <v>1062</v>
      </c>
      <c r="C121" t="s">
        <v>12</v>
      </c>
      <c r="D121" t="s">
        <v>7</v>
      </c>
      <c r="E121" s="4">
        <v>74</v>
      </c>
      <c r="F121" s="5">
        <f>IF($E121="","",IFERROR(INDEX(PokemonRef!$C$2:$C$494,MATCH($E121,PokemonRef!$A$2:$A$494,0)),""))</f>
      </c>
      <c r="G121" s="5">
        <f>IF($E121="","",IFERROR(INDEX(PokemonRef!$B$2:$B$494,MATCH($E121,PokemonRef!$A$2:$A$494,0)),""))</f>
      </c>
      <c r="H121" s="4">
        <v>130</v>
      </c>
      <c r="I121" s="4">
        <v>5</v>
      </c>
      <c r="J121" s="4">
        <v>30</v>
      </c>
      <c r="K121" t="s">
        <v>19</v>
      </c>
      <c r="L121" t="s">
        <v>8</v>
      </c>
      <c r="M121" t="s">
        <v>1022</v>
      </c>
      <c r="N121" s="5">
        <f>IF($E121="","",TEXTJOIN("|",TRUE,K121:M121))</f>
      </c>
      <c r="O121" t="s">
        <v>1022</v>
      </c>
    </row>
    <row r="122" spans="1:15" x14ac:dyDescent="0.25">
      <c r="A122" t="s">
        <v>1061</v>
      </c>
      <c r="B122" t="s">
        <v>1062</v>
      </c>
      <c r="C122" t="s">
        <v>12</v>
      </c>
      <c r="D122" t="s">
        <v>7</v>
      </c>
      <c r="E122" s="4">
        <v>41</v>
      </c>
      <c r="F122" s="5">
        <f>IF($E122="","",IFERROR(INDEX(PokemonRef!$C$2:$C$494,MATCH($E122,PokemonRef!$A$2:$A$494,0)),""))</f>
      </c>
      <c r="G122" s="5">
        <f>IF($E122="","",IFERROR(INDEX(PokemonRef!$B$2:$B$494,MATCH($E122,PokemonRef!$A$2:$A$494,0)),""))</f>
      </c>
      <c r="H122" s="4">
        <v>30</v>
      </c>
      <c r="I122" s="4">
        <v>15</v>
      </c>
      <c r="J122" s="4">
        <v>16</v>
      </c>
      <c r="K122" t="s">
        <v>8</v>
      </c>
      <c r="L122" t="s">
        <v>1022</v>
      </c>
      <c r="M122" t="s">
        <v>1022</v>
      </c>
      <c r="N122" s="5">
        <f>IF($E122="","",TEXTJOIN("|",TRUE,K122:M122))</f>
      </c>
      <c r="O122" t="s">
        <v>1022</v>
      </c>
    </row>
    <row r="123" spans="1:15" x14ac:dyDescent="0.25">
      <c r="A123" t="s">
        <v>1061</v>
      </c>
      <c r="B123" t="s">
        <v>1062</v>
      </c>
      <c r="C123" t="s">
        <v>12</v>
      </c>
      <c r="D123" t="s">
        <v>7</v>
      </c>
      <c r="E123" s="4">
        <v>56</v>
      </c>
      <c r="F123" s="5">
        <f>IF($E123="","",IFERROR(INDEX(PokemonRef!$C$2:$C$494,MATCH($E123,PokemonRef!$A$2:$A$494,0)),""))</f>
      </c>
      <c r="G123" s="5">
        <f>IF($E123="","",IFERROR(INDEX(PokemonRef!$B$2:$B$494,MATCH($E123,PokemonRef!$A$2:$A$494,0)),""))</f>
      </c>
      <c r="H123" s="4">
        <v>15</v>
      </c>
      <c r="I123" s="4">
        <v>16</v>
      </c>
      <c r="J123" s="4">
        <v>17</v>
      </c>
      <c r="K123" t="s">
        <v>8</v>
      </c>
      <c r="L123" t="s">
        <v>1022</v>
      </c>
      <c r="M123" t="s">
        <v>1022</v>
      </c>
      <c r="N123" s="5">
        <f>IF($E123="","",TEXTJOIN("|",TRUE,K123:M123))</f>
      </c>
      <c r="O123" t="s">
        <v>1022</v>
      </c>
    </row>
    <row r="124" spans="1:15" x14ac:dyDescent="0.25">
      <c r="A124" t="s">
        <v>1061</v>
      </c>
      <c r="B124" t="s">
        <v>1062</v>
      </c>
      <c r="C124" t="s">
        <v>12</v>
      </c>
      <c r="D124" t="s">
        <v>7</v>
      </c>
      <c r="E124" s="4">
        <v>66</v>
      </c>
      <c r="F124" s="5">
        <f>IF($E124="","",IFERROR(INDEX(PokemonRef!$C$2:$C$494,MATCH($E124,PokemonRef!$A$2:$A$494,0)),""))</f>
      </c>
      <c r="G124" s="5">
        <f>IF($E124="","",IFERROR(INDEX(PokemonRef!$B$2:$B$494,MATCH($E124,PokemonRef!$A$2:$A$494,0)),""))</f>
      </c>
      <c r="H124" s="4">
        <v>15</v>
      </c>
      <c r="I124" s="4">
        <v>16</v>
      </c>
      <c r="J124" s="4">
        <v>17</v>
      </c>
      <c r="K124" t="s">
        <v>8</v>
      </c>
      <c r="L124" t="s">
        <v>1022</v>
      </c>
      <c r="M124" t="s">
        <v>1022</v>
      </c>
      <c r="N124" s="5">
        <f>IF($E124="","",TEXTJOIN("|",TRUE,K124:M124))</f>
      </c>
      <c r="O124" t="s">
        <v>1022</v>
      </c>
    </row>
    <row r="125" spans="1:15" x14ac:dyDescent="0.25">
      <c r="A125" t="s">
        <v>1061</v>
      </c>
      <c r="B125" t="s">
        <v>1062</v>
      </c>
      <c r="C125" t="s">
        <v>12</v>
      </c>
      <c r="D125" t="s">
        <v>7</v>
      </c>
      <c r="E125" s="4">
        <v>95</v>
      </c>
      <c r="F125" s="5">
        <f>IF($E125="","",IFERROR(INDEX(PokemonRef!$C$2:$C$494,MATCH($E125,PokemonRef!$A$2:$A$494,0)),""))</f>
      </c>
      <c r="G125" s="5">
        <f>IF($E125="","",IFERROR(INDEX(PokemonRef!$B$2:$B$494,MATCH($E125,PokemonRef!$A$2:$A$494,0)),""))</f>
      </c>
      <c r="H125" s="4">
        <v>10</v>
      </c>
      <c r="I125" s="4">
        <v>13</v>
      </c>
      <c r="J125" s="4">
        <v>17</v>
      </c>
      <c r="K125" t="s">
        <v>8</v>
      </c>
      <c r="L125" t="s">
        <v>1022</v>
      </c>
      <c r="M125" t="s">
        <v>1022</v>
      </c>
      <c r="N125" s="5">
        <f>IF($E125="","",TEXTJOIN("|",TRUE,K125:M125))</f>
      </c>
      <c r="O125" t="s">
        <v>1022</v>
      </c>
    </row>
    <row r="126" spans="1:15" x14ac:dyDescent="0.25">
      <c r="A126" t="s">
        <v>1061</v>
      </c>
      <c r="B126" t="s">
        <v>1062</v>
      </c>
      <c r="C126" t="s">
        <v>12</v>
      </c>
      <c r="D126" t="s">
        <v>7</v>
      </c>
      <c r="E126" s="4">
        <v>75</v>
      </c>
      <c r="F126" s="5">
        <f>IF($E126="","",IFERROR(INDEX(PokemonRef!$C$2:$C$494,MATCH($E126,PokemonRef!$A$2:$A$494,0)),""))</f>
      </c>
      <c r="G126" s="5">
        <f>IF($E126="","",IFERROR(INDEX(PokemonRef!$B$2:$B$494,MATCH($E126,PokemonRef!$A$2:$A$494,0)),""))</f>
      </c>
      <c r="H126" s="4">
        <v>5</v>
      </c>
      <c r="I126" s="4">
        <v>25</v>
      </c>
      <c r="J126" s="4">
        <v>40</v>
      </c>
      <c r="K126" t="s">
        <v>19</v>
      </c>
      <c r="L126" t="s">
        <v>1022</v>
      </c>
      <c r="M126" t="s">
        <v>1022</v>
      </c>
      <c r="N126" s="5">
        <f>IF($E126="","",TEXTJOIN("|",TRUE,K126:M126))</f>
      </c>
      <c r="O126" t="s">
        <v>1022</v>
      </c>
    </row>
    <row r="127" spans="1:15" x14ac:dyDescent="0.25">
      <c r="A127" t="s">
        <v>1063</v>
      </c>
      <c r="B127" t="s">
        <v>1064</v>
      </c>
      <c r="C127" t="s">
        <v>1021</v>
      </c>
      <c r="D127" t="s">
        <v>10</v>
      </c>
      <c r="E127" s="4" t="s">
        <v>1022</v>
      </c>
      <c r="F127" s="5"/>
      <c r="G127" s="5"/>
      <c r="H127" s="4" t="s">
        <v>1022</v>
      </c>
      <c r="I127" s="4" t="s">
        <v>1022</v>
      </c>
      <c r="J127" s="4" t="s">
        <v>1022</v>
      </c>
      <c r="K127" t="s">
        <v>1022</v>
      </c>
      <c r="L127" t="s">
        <v>1022</v>
      </c>
      <c r="M127" t="s">
        <v>1022</v>
      </c>
      <c r="N127" s="5" t="s">
        <v>1022</v>
      </c>
      <c r="O127" t="s">
        <v>1022</v>
      </c>
    </row>
    <row r="128" spans="1:15" x14ac:dyDescent="0.25">
      <c r="A128" t="s">
        <v>1065</v>
      </c>
      <c r="B128" t="s">
        <v>1066</v>
      </c>
      <c r="C128" t="s">
        <v>12</v>
      </c>
      <c r="D128" t="s">
        <v>7</v>
      </c>
      <c r="E128" s="4">
        <v>92</v>
      </c>
      <c r="F128" s="5">
        <f>IF($E128="","",IFERROR(INDEX(PokemonRef!$C$2:$C$494,MATCH($E128,PokemonRef!$A$2:$A$494,0)),""))</f>
      </c>
      <c r="G128" s="5">
        <f>IF($E128="","",IFERROR(INDEX(PokemonRef!$B$2:$B$494,MATCH($E128,PokemonRef!$A$2:$A$494,0)),""))</f>
      </c>
      <c r="H128" s="4">
        <v>101</v>
      </c>
      <c r="I128" s="4">
        <v>13</v>
      </c>
      <c r="J128" s="4">
        <v>19</v>
      </c>
      <c r="K128" t="s">
        <v>8</v>
      </c>
      <c r="L128" t="s">
        <v>1022</v>
      </c>
      <c r="M128" t="s">
        <v>1022</v>
      </c>
      <c r="N128" s="5">
        <f>IF($E128="","",TEXTJOIN("|",TRUE,K128:M128))</f>
      </c>
      <c r="O128" t="s">
        <v>1022</v>
      </c>
    </row>
    <row r="129" spans="1:15" x14ac:dyDescent="0.25">
      <c r="A129" t="s">
        <v>1065</v>
      </c>
      <c r="B129" t="s">
        <v>1066</v>
      </c>
      <c r="C129" t="s">
        <v>12</v>
      </c>
      <c r="D129" t="s">
        <v>7</v>
      </c>
      <c r="E129" s="4">
        <v>93</v>
      </c>
      <c r="F129" s="5">
        <f>IF($E129="","",IFERROR(INDEX(PokemonRef!$C$2:$C$494,MATCH($E129,PokemonRef!$A$2:$A$494,0)),""))</f>
      </c>
      <c r="G129" s="5">
        <f>IF($E129="","",IFERROR(INDEX(PokemonRef!$B$2:$B$494,MATCH($E129,PokemonRef!$A$2:$A$494,0)),""))</f>
      </c>
      <c r="H129" s="4">
        <v>15</v>
      </c>
      <c r="I129" s="4">
        <v>20</v>
      </c>
      <c r="J129" s="4">
        <v>25</v>
      </c>
      <c r="K129" t="s">
        <v>8</v>
      </c>
      <c r="L129" t="s">
        <v>1022</v>
      </c>
      <c r="M129" t="s">
        <v>1022</v>
      </c>
      <c r="N129" s="5">
        <f>IF($E129="","",TEXTJOIN("|",TRUE,K129:M129))</f>
      </c>
      <c r="O129" t="s">
        <v>1022</v>
      </c>
    </row>
    <row r="130" spans="1:15" x14ac:dyDescent="0.25">
      <c r="A130" t="s">
        <v>1065</v>
      </c>
      <c r="B130" t="s">
        <v>1066</v>
      </c>
      <c r="C130" t="s">
        <v>12</v>
      </c>
      <c r="D130" t="s">
        <v>7</v>
      </c>
      <c r="E130" s="4">
        <v>104</v>
      </c>
      <c r="F130" s="5">
        <f>IF($E130="","",IFERROR(INDEX(PokemonRef!$C$2:$C$494,MATCH($E130,PokemonRef!$A$2:$A$494,0)),""))</f>
      </c>
      <c r="G130" s="5">
        <f>IF($E130="","",IFERROR(INDEX(PokemonRef!$B$2:$B$494,MATCH($E130,PokemonRef!$A$2:$A$494,0)),""))</f>
      </c>
      <c r="H130" s="4">
        <v>11</v>
      </c>
      <c r="I130" s="4">
        <v>15</v>
      </c>
      <c r="J130" s="4">
        <v>19</v>
      </c>
      <c r="K130" t="s">
        <v>8</v>
      </c>
      <c r="L130" t="s">
        <v>1022</v>
      </c>
      <c r="M130" t="s">
        <v>1022</v>
      </c>
      <c r="N130" s="5">
        <f>IF($E130="","",TEXTJOIN("|",TRUE,K130:M130))</f>
      </c>
      <c r="O130" t="s">
        <v>1022</v>
      </c>
    </row>
    <row r="131" spans="1:15" x14ac:dyDescent="0.25">
      <c r="A131" t="s">
        <v>1067</v>
      </c>
      <c r="B131" t="s">
        <v>1068</v>
      </c>
      <c r="C131" t="s">
        <v>6</v>
      </c>
      <c r="D131" t="s">
        <v>7</v>
      </c>
      <c r="E131" s="4">
        <v>16</v>
      </c>
      <c r="F131" s="5">
        <f>IF($E131="","",IFERROR(INDEX(PokemonRef!$C$2:$C$494,MATCH($E131,PokemonRef!$A$2:$A$494,0)),""))</f>
      </c>
      <c r="G131" s="5">
        <f>IF($E131="","",IFERROR(INDEX(PokemonRef!$B$2:$B$494,MATCH($E131,PokemonRef!$A$2:$A$494,0)),""))</f>
      </c>
      <c r="H131" s="4">
        <v>30</v>
      </c>
      <c r="I131" s="4">
        <v>18</v>
      </c>
      <c r="J131" s="4">
        <v>20</v>
      </c>
      <c r="K131" t="s">
        <v>8</v>
      </c>
      <c r="L131" t="s">
        <v>1022</v>
      </c>
      <c r="M131" t="s">
        <v>1022</v>
      </c>
      <c r="N131" s="5">
        <f>IF($E131="","",TEXTJOIN("|",TRUE,K131:M131))</f>
      </c>
      <c r="O131" t="s">
        <v>1022</v>
      </c>
    </row>
    <row r="132" spans="1:15" x14ac:dyDescent="0.25">
      <c r="A132" t="s">
        <v>1067</v>
      </c>
      <c r="B132" t="s">
        <v>1068</v>
      </c>
      <c r="C132" t="s">
        <v>6</v>
      </c>
      <c r="D132" t="s">
        <v>7</v>
      </c>
      <c r="E132" s="4">
        <v>52</v>
      </c>
      <c r="F132" s="5">
        <f>IF($E132="","",IFERROR(INDEX(PokemonRef!$C$2:$C$494,MATCH($E132,PokemonRef!$A$2:$A$494,0)),""))</f>
      </c>
      <c r="G132" s="5">
        <f>IF($E132="","",IFERROR(INDEX(PokemonRef!$B$2:$B$494,MATCH($E132,PokemonRef!$A$2:$A$494,0)),""))</f>
      </c>
      <c r="H132" s="4">
        <v>30</v>
      </c>
      <c r="I132" s="4">
        <v>18</v>
      </c>
      <c r="J132" s="4">
        <v>20</v>
      </c>
      <c r="K132" t="s">
        <v>8</v>
      </c>
      <c r="L132" t="s">
        <v>1022</v>
      </c>
      <c r="M132" t="s">
        <v>1022</v>
      </c>
      <c r="N132" s="5">
        <f>IF($E132="","",TEXTJOIN("|",TRUE,K132:M132))</f>
      </c>
      <c r="O132" t="s">
        <v>1022</v>
      </c>
    </row>
    <row r="133" spans="1:15" x14ac:dyDescent="0.25">
      <c r="A133" t="s">
        <v>1067</v>
      </c>
      <c r="B133" t="s">
        <v>1068</v>
      </c>
      <c r="C133" t="s">
        <v>6</v>
      </c>
      <c r="D133" t="s">
        <v>7</v>
      </c>
      <c r="E133" s="4">
        <v>23</v>
      </c>
      <c r="F133" s="5">
        <f>IF($E133="","",IFERROR(INDEX(PokemonRef!$C$2:$C$494,MATCH($E133,PokemonRef!$A$2:$A$494,0)),""))</f>
      </c>
      <c r="G133" s="5">
        <f>IF($E133="","",IFERROR(INDEX(PokemonRef!$B$2:$B$494,MATCH($E133,PokemonRef!$A$2:$A$494,0)),""))</f>
      </c>
      <c r="H133" s="4">
        <v>20</v>
      </c>
      <c r="I133" s="4">
        <v>17</v>
      </c>
      <c r="J133" s="4">
        <v>19</v>
      </c>
      <c r="K133" t="s">
        <v>8</v>
      </c>
      <c r="L133" t="s">
        <v>1022</v>
      </c>
      <c r="M133" t="s">
        <v>1022</v>
      </c>
      <c r="N133" s="5">
        <f>IF($E133="","",TEXTJOIN("|",TRUE,K133:M133))</f>
      </c>
      <c r="O133" t="s">
        <v>1022</v>
      </c>
    </row>
    <row r="134" spans="1:15" x14ac:dyDescent="0.25">
      <c r="A134" t="s">
        <v>1067</v>
      </c>
      <c r="B134" t="s">
        <v>1068</v>
      </c>
      <c r="C134" t="s">
        <v>6</v>
      </c>
      <c r="D134" t="s">
        <v>7</v>
      </c>
      <c r="E134" s="4">
        <v>27</v>
      </c>
      <c r="F134" s="5">
        <f>IF($E134="","",IFERROR(INDEX(PokemonRef!$C$2:$C$494,MATCH($E134,PokemonRef!$A$2:$A$494,0)),""))</f>
      </c>
      <c r="G134" s="5">
        <f>IF($E134="","",IFERROR(INDEX(PokemonRef!$B$2:$B$494,MATCH($E134,PokemonRef!$A$2:$A$494,0)),""))</f>
      </c>
      <c r="H134" s="4">
        <v>20</v>
      </c>
      <c r="I134" s="4">
        <v>17</v>
      </c>
      <c r="J134" s="4">
        <v>19</v>
      </c>
      <c r="K134" t="s">
        <v>8</v>
      </c>
      <c r="L134" t="s">
        <v>1022</v>
      </c>
      <c r="M134" t="s">
        <v>1022</v>
      </c>
      <c r="N134" s="5">
        <f>IF($E134="","",TEXTJOIN("|",TRUE,K134:M134))</f>
      </c>
      <c r="O134" t="s">
        <v>1022</v>
      </c>
    </row>
    <row r="135" spans="1:15" x14ac:dyDescent="0.25">
      <c r="A135" t="s">
        <v>1067</v>
      </c>
      <c r="B135" t="s">
        <v>1068</v>
      </c>
      <c r="C135" t="s">
        <v>6</v>
      </c>
      <c r="D135" t="s">
        <v>7</v>
      </c>
      <c r="E135" s="4">
        <v>37</v>
      </c>
      <c r="F135" s="5">
        <f>IF($E135="","",IFERROR(INDEX(PokemonRef!$C$2:$C$494,MATCH($E135,PokemonRef!$A$2:$A$494,0)),""))</f>
      </c>
      <c r="G135" s="5">
        <f>IF($E135="","",IFERROR(INDEX(PokemonRef!$B$2:$B$494,MATCH($E135,PokemonRef!$A$2:$A$494,0)),""))</f>
      </c>
      <c r="H135" s="4">
        <v>20</v>
      </c>
      <c r="I135" s="4">
        <v>15</v>
      </c>
      <c r="J135" s="4">
        <v>18</v>
      </c>
      <c r="K135" t="s">
        <v>8</v>
      </c>
      <c r="L135" t="s">
        <v>1022</v>
      </c>
      <c r="M135" t="s">
        <v>1022</v>
      </c>
      <c r="N135" s="5">
        <f>IF($E135="","",TEXTJOIN("|",TRUE,K135:M135))</f>
      </c>
      <c r="O135" t="s">
        <v>1022</v>
      </c>
    </row>
    <row r="136" spans="1:15" x14ac:dyDescent="0.25">
      <c r="A136" t="s">
        <v>1067</v>
      </c>
      <c r="B136" t="s">
        <v>1068</v>
      </c>
      <c r="C136" t="s">
        <v>6</v>
      </c>
      <c r="D136" t="s">
        <v>7</v>
      </c>
      <c r="E136" s="4">
        <v>58</v>
      </c>
      <c r="F136" s="5">
        <f>IF($E136="","",IFERROR(INDEX(PokemonRef!$C$2:$C$494,MATCH($E136,PokemonRef!$A$2:$A$494,0)),""))</f>
      </c>
      <c r="G136" s="5">
        <f>IF($E136="","",IFERROR(INDEX(PokemonRef!$B$2:$B$494,MATCH($E136,PokemonRef!$A$2:$A$494,0)),""))</f>
      </c>
      <c r="H136" s="4">
        <v>20</v>
      </c>
      <c r="I136" s="4">
        <v>15</v>
      </c>
      <c r="J136" s="4">
        <v>18</v>
      </c>
      <c r="K136" t="s">
        <v>8</v>
      </c>
      <c r="L136" t="s">
        <v>1022</v>
      </c>
      <c r="M136" t="s">
        <v>1022</v>
      </c>
      <c r="N136" s="5">
        <f>IF($E136="","",TEXTJOIN("|",TRUE,K136:M136))</f>
      </c>
      <c r="O136" t="s">
        <v>1022</v>
      </c>
    </row>
    <row r="137" spans="1:15" x14ac:dyDescent="0.25">
      <c r="A137" t="s">
        <v>1069</v>
      </c>
      <c r="B137" t="s">
        <v>1070</v>
      </c>
      <c r="C137" t="s">
        <v>1021</v>
      </c>
      <c r="D137" t="s">
        <v>10</v>
      </c>
      <c r="E137" s="4" t="s">
        <v>1022</v>
      </c>
      <c r="F137" s="5"/>
      <c r="G137" s="5"/>
      <c r="H137" s="4" t="s">
        <v>1022</v>
      </c>
      <c r="I137" s="4" t="s">
        <v>1022</v>
      </c>
      <c r="J137" s="4" t="s">
        <v>1022</v>
      </c>
      <c r="K137" t="s">
        <v>1022</v>
      </c>
      <c r="L137" t="s">
        <v>1022</v>
      </c>
      <c r="M137" t="s">
        <v>1022</v>
      </c>
      <c r="N137" s="5" t="s">
        <v>1022</v>
      </c>
      <c r="O137" t="s">
        <v>1022</v>
      </c>
    </row>
    <row r="138" spans="1:15" x14ac:dyDescent="0.25">
      <c r="A138" t="s">
        <v>1071</v>
      </c>
      <c r="B138" t="s">
        <v>1072</v>
      </c>
      <c r="C138" t="s">
        <v>6</v>
      </c>
      <c r="D138" t="s">
        <v>7</v>
      </c>
      <c r="E138" s="4">
        <v>52</v>
      </c>
      <c r="F138" s="5">
        <f>IF($E138="","",IFERROR(INDEX(PokemonRef!$C$2:$C$494,MATCH($E138,PokemonRef!$A$2:$A$494,0)),""))</f>
      </c>
      <c r="G138" s="5">
        <f>IF($E138="","",IFERROR(INDEX(PokemonRef!$B$2:$B$494,MATCH($E138,PokemonRef!$A$2:$A$494,0)),""))</f>
      </c>
      <c r="H138" s="4">
        <v>40</v>
      </c>
      <c r="I138" s="4">
        <v>17</v>
      </c>
      <c r="J138" s="4">
        <v>20</v>
      </c>
      <c r="K138" t="s">
        <v>8</v>
      </c>
      <c r="L138" t="s">
        <v>1022</v>
      </c>
      <c r="M138" t="s">
        <v>1022</v>
      </c>
      <c r="N138" s="5">
        <f>IF($E138="","",TEXTJOIN("|",TRUE,K138:M138))</f>
      </c>
      <c r="O138" t="s">
        <v>1022</v>
      </c>
    </row>
    <row r="139" spans="1:15" x14ac:dyDescent="0.25">
      <c r="A139" t="s">
        <v>1071</v>
      </c>
      <c r="B139" t="s">
        <v>1072</v>
      </c>
      <c r="C139" t="s">
        <v>6</v>
      </c>
      <c r="D139" t="s">
        <v>7</v>
      </c>
      <c r="E139" s="4">
        <v>16</v>
      </c>
      <c r="F139" s="5">
        <f>IF($E139="","",IFERROR(INDEX(PokemonRef!$C$2:$C$494,MATCH($E139,PokemonRef!$A$2:$A$494,0)),""))</f>
      </c>
      <c r="G139" s="5">
        <f>IF($E139="","",IFERROR(INDEX(PokemonRef!$B$2:$B$494,MATCH($E139,PokemonRef!$A$2:$A$494,0)),""))</f>
      </c>
      <c r="H139" s="4">
        <v>30</v>
      </c>
      <c r="I139" s="4">
        <v>19</v>
      </c>
      <c r="J139" s="4">
        <v>22</v>
      </c>
      <c r="K139" t="s">
        <v>8</v>
      </c>
      <c r="L139" t="s">
        <v>1022</v>
      </c>
      <c r="M139" t="s">
        <v>1022</v>
      </c>
      <c r="N139" s="5">
        <f>IF($E139="","",TEXTJOIN("|",TRUE,K139:M139))</f>
      </c>
      <c r="O139" t="s">
        <v>1022</v>
      </c>
    </row>
    <row r="140" spans="1:15" x14ac:dyDescent="0.25">
      <c r="A140" t="s">
        <v>1071</v>
      </c>
      <c r="B140" t="s">
        <v>1072</v>
      </c>
      <c r="C140" t="s">
        <v>6</v>
      </c>
      <c r="D140" t="s">
        <v>7</v>
      </c>
      <c r="E140" s="4">
        <v>43</v>
      </c>
      <c r="F140" s="5">
        <f>IF($E140="","",IFERROR(INDEX(PokemonRef!$C$2:$C$494,MATCH($E140,PokemonRef!$A$2:$A$494,0)),""))</f>
      </c>
      <c r="G140" s="5">
        <f>IF($E140="","",IFERROR(INDEX(PokemonRef!$B$2:$B$494,MATCH($E140,PokemonRef!$A$2:$A$494,0)),""))</f>
      </c>
      <c r="H140" s="4">
        <v>20</v>
      </c>
      <c r="I140" s="4">
        <v>19</v>
      </c>
      <c r="J140" s="4">
        <v>22</v>
      </c>
      <c r="K140" t="s">
        <v>8</v>
      </c>
      <c r="L140" t="s">
        <v>1022</v>
      </c>
      <c r="M140" t="s">
        <v>1022</v>
      </c>
      <c r="N140" s="5">
        <f>IF($E140="","",TEXTJOIN("|",TRUE,K140:M140))</f>
      </c>
      <c r="O140" t="s">
        <v>1022</v>
      </c>
    </row>
    <row r="141" spans="1:15" x14ac:dyDescent="0.25">
      <c r="A141" t="s">
        <v>1071</v>
      </c>
      <c r="B141" t="s">
        <v>1072</v>
      </c>
      <c r="C141" t="s">
        <v>6</v>
      </c>
      <c r="D141" t="s">
        <v>7</v>
      </c>
      <c r="E141" s="4">
        <v>69</v>
      </c>
      <c r="F141" s="5">
        <f>IF($E141="","",IFERROR(INDEX(PokemonRef!$C$2:$C$494,MATCH($E141,PokemonRef!$A$2:$A$494,0)),""))</f>
      </c>
      <c r="G141" s="5">
        <f>IF($E141="","",IFERROR(INDEX(PokemonRef!$B$2:$B$494,MATCH($E141,PokemonRef!$A$2:$A$494,0)),""))</f>
      </c>
      <c r="H141" s="4">
        <v>20</v>
      </c>
      <c r="I141" s="4">
        <v>19</v>
      </c>
      <c r="J141" s="4">
        <v>22</v>
      </c>
      <c r="K141" t="s">
        <v>8</v>
      </c>
      <c r="L141" t="s">
        <v>1022</v>
      </c>
      <c r="M141" t="s">
        <v>1022</v>
      </c>
      <c r="N141" s="5">
        <f>IF($E141="","",TEXTJOIN("|",TRUE,K141:M141))</f>
      </c>
      <c r="O141" t="s">
        <v>1022</v>
      </c>
    </row>
    <row r="142" spans="1:15" x14ac:dyDescent="0.25">
      <c r="A142" t="s">
        <v>1071</v>
      </c>
      <c r="B142" t="s">
        <v>1072</v>
      </c>
      <c r="C142" t="s">
        <v>6</v>
      </c>
      <c r="D142" t="s">
        <v>7</v>
      </c>
      <c r="E142" s="4">
        <v>37</v>
      </c>
      <c r="F142" s="5">
        <f>IF($E142="","",IFERROR(INDEX(PokemonRef!$C$2:$C$494,MATCH($E142,PokemonRef!$A$2:$A$494,0)),""))</f>
      </c>
      <c r="G142" s="5">
        <f>IF($E142="","",IFERROR(INDEX(PokemonRef!$B$2:$B$494,MATCH($E142,PokemonRef!$A$2:$A$494,0)),""))</f>
      </c>
      <c r="H142" s="4">
        <v>10</v>
      </c>
      <c r="I142" s="4">
        <v>18</v>
      </c>
      <c r="J142" s="4">
        <v>20</v>
      </c>
      <c r="K142" t="s">
        <v>8</v>
      </c>
      <c r="L142" t="s">
        <v>1022</v>
      </c>
      <c r="M142" t="s">
        <v>1022</v>
      </c>
      <c r="N142" s="5">
        <f>IF($E142="","",TEXTJOIN("|",TRUE,K142:M142))</f>
      </c>
      <c r="O142" t="s">
        <v>1022</v>
      </c>
    </row>
    <row r="143" spans="1:15" x14ac:dyDescent="0.25">
      <c r="A143" t="s">
        <v>1071</v>
      </c>
      <c r="B143" t="s">
        <v>1072</v>
      </c>
      <c r="C143" t="s">
        <v>6</v>
      </c>
      <c r="D143" t="s">
        <v>7</v>
      </c>
      <c r="E143" s="4">
        <v>58</v>
      </c>
      <c r="F143" s="5">
        <f>IF($E143="","",IFERROR(INDEX(PokemonRef!$C$2:$C$494,MATCH($E143,PokemonRef!$A$2:$A$494,0)),""))</f>
      </c>
      <c r="G143" s="5">
        <f>IF($E143="","",IFERROR(INDEX(PokemonRef!$B$2:$B$494,MATCH($E143,PokemonRef!$A$2:$A$494,0)),""))</f>
      </c>
      <c r="H143" s="4">
        <v>10</v>
      </c>
      <c r="I143" s="4">
        <v>18</v>
      </c>
      <c r="J143" s="4">
        <v>20</v>
      </c>
      <c r="K143" t="s">
        <v>8</v>
      </c>
      <c r="L143" t="s">
        <v>1022</v>
      </c>
      <c r="M143" t="s">
        <v>1022</v>
      </c>
      <c r="N143" s="5">
        <f>IF($E143="","",TEXTJOIN("|",TRUE,K143:M143))</f>
      </c>
      <c r="O143" t="s">
        <v>1022</v>
      </c>
    </row>
    <row r="144" spans="1:15" x14ac:dyDescent="0.25">
      <c r="A144" t="s">
        <v>1073</v>
      </c>
      <c r="B144" t="s">
        <v>1074</v>
      </c>
      <c r="C144" t="s">
        <v>1021</v>
      </c>
      <c r="D144" t="s">
        <v>10</v>
      </c>
      <c r="E144" s="4" t="s">
        <v>1022</v>
      </c>
      <c r="F144" s="5"/>
      <c r="G144" s="5"/>
      <c r="H144" s="4" t="s">
        <v>1022</v>
      </c>
      <c r="I144" s="4" t="s">
        <v>1022</v>
      </c>
      <c r="J144" s="4" t="s">
        <v>1022</v>
      </c>
      <c r="K144" t="s">
        <v>1022</v>
      </c>
      <c r="L144" t="s">
        <v>1022</v>
      </c>
      <c r="M144" t="s">
        <v>1022</v>
      </c>
      <c r="N144" s="5" t="s">
        <v>1022</v>
      </c>
      <c r="O144" t="s">
        <v>1022</v>
      </c>
    </row>
    <row r="145" spans="1:15" x14ac:dyDescent="0.25">
      <c r="A145" t="s">
        <v>1075</v>
      </c>
      <c r="B145" t="s">
        <v>1076</v>
      </c>
      <c r="C145" t="s">
        <v>6</v>
      </c>
      <c r="D145" t="s">
        <v>7</v>
      </c>
      <c r="E145" s="4">
        <v>143</v>
      </c>
      <c r="F145" s="5">
        <f>IF($E145="","",IFERROR(INDEX(PokemonRef!$C$2:$C$494,MATCH($E145,PokemonRef!$A$2:$A$494,0)),""))</f>
      </c>
      <c r="G145" s="5">
        <f>IF($E145="","",IFERROR(INDEX(PokemonRef!$B$2:$B$494,MATCH($E145,PokemonRef!$A$2:$A$494,0)),""))</f>
      </c>
      <c r="H145" s="4">
        <v>100</v>
      </c>
      <c r="I145" s="4">
        <v>30</v>
      </c>
      <c r="J145" s="4">
        <v>30</v>
      </c>
      <c r="K145" t="s">
        <v>18</v>
      </c>
      <c r="L145" t="s">
        <v>1022</v>
      </c>
      <c r="M145" t="s">
        <v>1022</v>
      </c>
      <c r="N145" s="5">
        <f>IF($E145="","",TEXTJOIN("|",TRUE,K145:M145))</f>
      </c>
      <c r="O145" t="s">
        <v>1022</v>
      </c>
    </row>
    <row r="146" spans="1:15" x14ac:dyDescent="0.25">
      <c r="A146" t="s">
        <v>1075</v>
      </c>
      <c r="B146" t="s">
        <v>1076</v>
      </c>
      <c r="C146" t="s">
        <v>6</v>
      </c>
      <c r="D146" t="s">
        <v>7</v>
      </c>
      <c r="E146" s="4">
        <v>84</v>
      </c>
      <c r="F146" s="5">
        <f>IF($E146="","",IFERROR(INDEX(PokemonRef!$C$2:$C$494,MATCH($E146,PokemonRef!$A$2:$A$494,0)),""))</f>
      </c>
      <c r="G146" s="5">
        <f>IF($E146="","",IFERROR(INDEX(PokemonRef!$B$2:$B$494,MATCH($E146,PokemonRef!$A$2:$A$494,0)),""))</f>
      </c>
      <c r="H146" s="4">
        <v>35</v>
      </c>
      <c r="I146" s="4">
        <v>18</v>
      </c>
      <c r="J146" s="4">
        <v>22</v>
      </c>
      <c r="K146" t="s">
        <v>8</v>
      </c>
      <c r="L146" t="s">
        <v>1022</v>
      </c>
      <c r="M146" t="s">
        <v>1022</v>
      </c>
      <c r="N146" s="5">
        <f>IF($E146="","",TEXTJOIN("|",TRUE,K146:M146))</f>
      </c>
      <c r="O146" t="s">
        <v>1022</v>
      </c>
    </row>
    <row r="147" spans="1:15" x14ac:dyDescent="0.25">
      <c r="A147" t="s">
        <v>1075</v>
      </c>
      <c r="B147" t="s">
        <v>1076</v>
      </c>
      <c r="C147" t="s">
        <v>6</v>
      </c>
      <c r="D147" t="s">
        <v>7</v>
      </c>
      <c r="E147" s="4">
        <v>19</v>
      </c>
      <c r="F147" s="5">
        <f>IF($E147="","",IFERROR(INDEX(PokemonRef!$C$2:$C$494,MATCH($E147,PokemonRef!$A$2:$A$494,0)),""))</f>
      </c>
      <c r="G147" s="5">
        <f>IF($E147="","",IFERROR(INDEX(PokemonRef!$B$2:$B$494,MATCH($E147,PokemonRef!$A$2:$A$494,0)),""))</f>
      </c>
      <c r="H147" s="4">
        <v>30</v>
      </c>
      <c r="I147" s="4">
        <v>18</v>
      </c>
      <c r="J147" s="4">
        <v>22</v>
      </c>
      <c r="K147" t="s">
        <v>8</v>
      </c>
      <c r="L147" t="s">
        <v>1022</v>
      </c>
      <c r="M147" t="s">
        <v>1022</v>
      </c>
      <c r="N147" s="5">
        <f>IF($E147="","",TEXTJOIN("|",TRUE,K147:M147))</f>
      </c>
      <c r="O147" t="s">
        <v>1022</v>
      </c>
    </row>
    <row r="148" spans="1:15" x14ac:dyDescent="0.25">
      <c r="A148" t="s">
        <v>1075</v>
      </c>
      <c r="B148" t="s">
        <v>1076</v>
      </c>
      <c r="C148" t="s">
        <v>6</v>
      </c>
      <c r="D148" t="s">
        <v>7</v>
      </c>
      <c r="E148" s="4">
        <v>21</v>
      </c>
      <c r="F148" s="5">
        <f>IF($E148="","",IFERROR(INDEX(PokemonRef!$C$2:$C$494,MATCH($E148,PokemonRef!$A$2:$A$494,0)),""))</f>
      </c>
      <c r="G148" s="5">
        <f>IF($E148="","",IFERROR(INDEX(PokemonRef!$B$2:$B$494,MATCH($E148,PokemonRef!$A$2:$A$494,0)),""))</f>
      </c>
      <c r="H148" s="4">
        <v>30</v>
      </c>
      <c r="I148" s="4">
        <v>20</v>
      </c>
      <c r="J148" s="4">
        <v>22</v>
      </c>
      <c r="K148" t="s">
        <v>8</v>
      </c>
      <c r="L148" t="s">
        <v>1022</v>
      </c>
      <c r="M148" t="s">
        <v>1022</v>
      </c>
      <c r="N148" s="5">
        <f>IF($E148="","",TEXTJOIN("|",TRUE,K148:M148))</f>
      </c>
      <c r="O148" t="s">
        <v>1022</v>
      </c>
    </row>
    <row r="149" spans="1:15" x14ac:dyDescent="0.25">
      <c r="A149" t="s">
        <v>1075</v>
      </c>
      <c r="B149" t="s">
        <v>1076</v>
      </c>
      <c r="C149" t="s">
        <v>6</v>
      </c>
      <c r="D149" t="s">
        <v>7</v>
      </c>
      <c r="E149" s="4">
        <v>20</v>
      </c>
      <c r="F149" s="5">
        <f>IF($E149="","",IFERROR(INDEX(PokemonRef!$C$2:$C$494,MATCH($E149,PokemonRef!$A$2:$A$494,0)),""))</f>
      </c>
      <c r="G149" s="5">
        <f>IF($E149="","",IFERROR(INDEX(PokemonRef!$B$2:$B$494,MATCH($E149,PokemonRef!$A$2:$A$494,0)),""))</f>
      </c>
      <c r="H149" s="4">
        <v>5</v>
      </c>
      <c r="I149" s="4">
        <v>23</v>
      </c>
      <c r="J149" s="4">
        <v>25</v>
      </c>
      <c r="K149" t="s">
        <v>8</v>
      </c>
      <c r="L149" t="s">
        <v>1022</v>
      </c>
      <c r="M149" t="s">
        <v>1022</v>
      </c>
      <c r="N149" s="5">
        <f>IF($E149="","",TEXTJOIN("|",TRUE,K149:M149))</f>
      </c>
      <c r="O149" t="s">
        <v>1022</v>
      </c>
    </row>
    <row r="150" spans="1:15" x14ac:dyDescent="0.25">
      <c r="A150" t="s">
        <v>1077</v>
      </c>
      <c r="B150" t="s">
        <v>1078</v>
      </c>
      <c r="C150" t="s">
        <v>6</v>
      </c>
      <c r="D150" t="s">
        <v>7</v>
      </c>
      <c r="E150" s="4">
        <v>84</v>
      </c>
      <c r="F150" s="5">
        <f>IF($E150="","",IFERROR(INDEX(PokemonRef!$C$2:$C$494,MATCH($E150,PokemonRef!$A$2:$A$494,0)),""))</f>
      </c>
      <c r="G150" s="5">
        <f>IF($E150="","",IFERROR(INDEX(PokemonRef!$B$2:$B$494,MATCH($E150,PokemonRef!$A$2:$A$494,0)),""))</f>
      </c>
      <c r="H150" s="4">
        <v>35</v>
      </c>
      <c r="I150" s="4">
        <v>24</v>
      </c>
      <c r="J150" s="4">
        <v>28</v>
      </c>
      <c r="K150" t="s">
        <v>8</v>
      </c>
      <c r="L150" t="s">
        <v>1022</v>
      </c>
      <c r="M150" t="s">
        <v>1022</v>
      </c>
      <c r="N150" s="5">
        <f>IF($E150="","",TEXTJOIN("|",TRUE,K150:M150))</f>
      </c>
      <c r="O150" t="s">
        <v>1022</v>
      </c>
    </row>
    <row r="151" spans="1:15" x14ac:dyDescent="0.25">
      <c r="A151" t="s">
        <v>1077</v>
      </c>
      <c r="B151" t="s">
        <v>1078</v>
      </c>
      <c r="C151" t="s">
        <v>6</v>
      </c>
      <c r="D151" t="s">
        <v>7</v>
      </c>
      <c r="E151" s="4">
        <v>21</v>
      </c>
      <c r="F151" s="5">
        <f>IF($E151="","",IFERROR(INDEX(PokemonRef!$C$2:$C$494,MATCH($E151,PokemonRef!$A$2:$A$494,0)),""))</f>
      </c>
      <c r="G151" s="5">
        <f>IF($E151="","",IFERROR(INDEX(PokemonRef!$B$2:$B$494,MATCH($E151,PokemonRef!$A$2:$A$494,0)),""))</f>
      </c>
      <c r="H151" s="4">
        <v>30</v>
      </c>
      <c r="I151" s="4">
        <v>20</v>
      </c>
      <c r="J151" s="4">
        <v>22</v>
      </c>
      <c r="K151" t="s">
        <v>8</v>
      </c>
      <c r="L151" t="s">
        <v>1022</v>
      </c>
      <c r="M151" t="s">
        <v>1022</v>
      </c>
      <c r="N151" s="5">
        <f>IF($E151="","",TEXTJOIN("|",TRUE,K151:M151))</f>
      </c>
      <c r="O151" t="s">
        <v>1022</v>
      </c>
    </row>
    <row r="152" spans="1:15" x14ac:dyDescent="0.25">
      <c r="A152" t="s">
        <v>1077</v>
      </c>
      <c r="B152" t="s">
        <v>1078</v>
      </c>
      <c r="C152" t="s">
        <v>6</v>
      </c>
      <c r="D152" t="s">
        <v>7</v>
      </c>
      <c r="E152" s="4">
        <v>20</v>
      </c>
      <c r="F152" s="5">
        <f>IF($E152="","",IFERROR(INDEX(PokemonRef!$C$2:$C$494,MATCH($E152,PokemonRef!$A$2:$A$494,0)),""))</f>
      </c>
      <c r="G152" s="5">
        <f>IF($E152="","",IFERROR(INDEX(PokemonRef!$B$2:$B$494,MATCH($E152,PokemonRef!$A$2:$A$494,0)),""))</f>
      </c>
      <c r="H152" s="4">
        <v>25</v>
      </c>
      <c r="I152" s="4">
        <v>25</v>
      </c>
      <c r="J152" s="4">
        <v>29</v>
      </c>
      <c r="K152" t="s">
        <v>8</v>
      </c>
      <c r="L152" t="s">
        <v>1022</v>
      </c>
      <c r="M152" t="s">
        <v>1022</v>
      </c>
      <c r="N152" s="5">
        <f>IF($E152="","",TEXTJOIN("|",TRUE,K152:M152))</f>
      </c>
      <c r="O152" t="s">
        <v>1022</v>
      </c>
    </row>
    <row r="153" spans="1:15" x14ac:dyDescent="0.25">
      <c r="A153" t="s">
        <v>1077</v>
      </c>
      <c r="B153" t="s">
        <v>1078</v>
      </c>
      <c r="C153" t="s">
        <v>6</v>
      </c>
      <c r="D153" t="s">
        <v>7</v>
      </c>
      <c r="E153" s="4">
        <v>19</v>
      </c>
      <c r="F153" s="5">
        <f>IF($E153="","",IFERROR(INDEX(PokemonRef!$C$2:$C$494,MATCH($E153,PokemonRef!$A$2:$A$494,0)),""))</f>
      </c>
      <c r="G153" s="5">
        <f>IF($E153="","",IFERROR(INDEX(PokemonRef!$B$2:$B$494,MATCH($E153,PokemonRef!$A$2:$A$494,0)),""))</f>
      </c>
      <c r="H153" s="4">
        <v>5</v>
      </c>
      <c r="I153" s="4">
        <v>22</v>
      </c>
      <c r="J153" s="4">
        <v>22</v>
      </c>
      <c r="K153" t="s">
        <v>8</v>
      </c>
      <c r="L153" t="s">
        <v>1022</v>
      </c>
      <c r="M153" t="s">
        <v>1022</v>
      </c>
      <c r="N153" s="5">
        <f>IF($E153="","",TEXTJOIN("|",TRUE,K153:M153))</f>
      </c>
      <c r="O153" t="s">
        <v>1022</v>
      </c>
    </row>
    <row r="154" spans="1:15" x14ac:dyDescent="0.25">
      <c r="A154" t="s">
        <v>1077</v>
      </c>
      <c r="B154" t="s">
        <v>1078</v>
      </c>
      <c r="C154" t="s">
        <v>6</v>
      </c>
      <c r="D154" t="s">
        <v>7</v>
      </c>
      <c r="E154" s="4">
        <v>22</v>
      </c>
      <c r="F154" s="5">
        <f>IF($E154="","",IFERROR(INDEX(PokemonRef!$C$2:$C$494,MATCH($E154,PokemonRef!$A$2:$A$494,0)),""))</f>
      </c>
      <c r="G154" s="5">
        <f>IF($E154="","",IFERROR(INDEX(PokemonRef!$B$2:$B$494,MATCH($E154,PokemonRef!$A$2:$A$494,0)),""))</f>
      </c>
      <c r="H154" s="4">
        <v>5</v>
      </c>
      <c r="I154" s="4">
        <v>25</v>
      </c>
      <c r="J154" s="4">
        <v>27</v>
      </c>
      <c r="K154" t="s">
        <v>8</v>
      </c>
      <c r="L154" t="s">
        <v>1022</v>
      </c>
      <c r="M154" t="s">
        <v>1022</v>
      </c>
      <c r="N154" s="5">
        <f>IF($E154="","",TEXTJOIN("|",TRUE,K154:M154))</f>
      </c>
      <c r="O154" t="s">
        <v>1022</v>
      </c>
    </row>
    <row r="155" spans="1:15" x14ac:dyDescent="0.25">
      <c r="A155" t="s">
        <v>1079</v>
      </c>
      <c r="B155" t="s">
        <v>1080</v>
      </c>
      <c r="C155" t="s">
        <v>6</v>
      </c>
      <c r="D155" t="s">
        <v>7</v>
      </c>
      <c r="E155" s="4">
        <v>84</v>
      </c>
      <c r="F155" s="5">
        <f>IF($E155="","",IFERROR(INDEX(PokemonRef!$C$2:$C$494,MATCH($E155,PokemonRef!$A$2:$A$494,0)),""))</f>
      </c>
      <c r="G155" s="5">
        <f>IF($E155="","",IFERROR(INDEX(PokemonRef!$B$2:$B$494,MATCH($E155,PokemonRef!$A$2:$A$494,0)),""))</f>
      </c>
      <c r="H155" s="4">
        <v>35</v>
      </c>
      <c r="I155" s="4">
        <v>24</v>
      </c>
      <c r="J155" s="4">
        <v>28</v>
      </c>
      <c r="K155" t="s">
        <v>8</v>
      </c>
      <c r="L155" t="s">
        <v>1022</v>
      </c>
      <c r="M155" t="s">
        <v>1022</v>
      </c>
      <c r="N155" s="5">
        <f>IF($E155="","",TEXTJOIN("|",TRUE,K155:M155))</f>
      </c>
      <c r="O155" t="s">
        <v>1022</v>
      </c>
    </row>
    <row r="156" spans="1:15" x14ac:dyDescent="0.25">
      <c r="A156" t="s">
        <v>1079</v>
      </c>
      <c r="B156" t="s">
        <v>1080</v>
      </c>
      <c r="C156" t="s">
        <v>6</v>
      </c>
      <c r="D156" t="s">
        <v>7</v>
      </c>
      <c r="E156" s="4">
        <v>21</v>
      </c>
      <c r="F156" s="5">
        <f>IF($E156="","",IFERROR(INDEX(PokemonRef!$C$2:$C$494,MATCH($E156,PokemonRef!$A$2:$A$494,0)),""))</f>
      </c>
      <c r="G156" s="5">
        <f>IF($E156="","",IFERROR(INDEX(PokemonRef!$B$2:$B$494,MATCH($E156,PokemonRef!$A$2:$A$494,0)),""))</f>
      </c>
      <c r="H156" s="4">
        <v>30</v>
      </c>
      <c r="I156" s="4">
        <v>20</v>
      </c>
      <c r="J156" s="4">
        <v>22</v>
      </c>
      <c r="K156" t="s">
        <v>8</v>
      </c>
      <c r="L156" t="s">
        <v>1022</v>
      </c>
      <c r="M156" t="s">
        <v>1022</v>
      </c>
      <c r="N156" s="5">
        <f>IF($E156="","",TEXTJOIN("|",TRUE,K156:M156))</f>
      </c>
      <c r="O156" t="s">
        <v>1022</v>
      </c>
    </row>
    <row r="157" spans="1:15" x14ac:dyDescent="0.25">
      <c r="A157" t="s">
        <v>1079</v>
      </c>
      <c r="B157" t="s">
        <v>1080</v>
      </c>
      <c r="C157" t="s">
        <v>6</v>
      </c>
      <c r="D157" t="s">
        <v>7</v>
      </c>
      <c r="E157" s="4">
        <v>20</v>
      </c>
      <c r="F157" s="5">
        <f>IF($E157="","",IFERROR(INDEX(PokemonRef!$C$2:$C$494,MATCH($E157,PokemonRef!$A$2:$A$494,0)),""))</f>
      </c>
      <c r="G157" s="5">
        <f>IF($E157="","",IFERROR(INDEX(PokemonRef!$B$2:$B$494,MATCH($E157,PokemonRef!$A$2:$A$494,0)),""))</f>
      </c>
      <c r="H157" s="4">
        <v>15</v>
      </c>
      <c r="I157" s="4">
        <v>25</v>
      </c>
      <c r="J157" s="4">
        <v>29</v>
      </c>
      <c r="K157" t="s">
        <v>8</v>
      </c>
      <c r="L157" t="s">
        <v>1022</v>
      </c>
      <c r="M157" t="s">
        <v>1022</v>
      </c>
      <c r="N157" s="5">
        <f>IF($E157="","",TEXTJOIN("|",TRUE,K157:M157))</f>
      </c>
      <c r="O157" t="s">
        <v>1022</v>
      </c>
    </row>
    <row r="158" spans="1:15" x14ac:dyDescent="0.25">
      <c r="A158" t="s">
        <v>1079</v>
      </c>
      <c r="B158" t="s">
        <v>1080</v>
      </c>
      <c r="C158" t="s">
        <v>6</v>
      </c>
      <c r="D158" t="s">
        <v>7</v>
      </c>
      <c r="E158" s="4">
        <v>22</v>
      </c>
      <c r="F158" s="5">
        <f>IF($E158="","",IFERROR(INDEX(PokemonRef!$C$2:$C$494,MATCH($E158,PokemonRef!$A$2:$A$494,0)),""))</f>
      </c>
      <c r="G158" s="5">
        <f>IF($E158="","",IFERROR(INDEX(PokemonRef!$B$2:$B$494,MATCH($E158,PokemonRef!$A$2:$A$494,0)),""))</f>
      </c>
      <c r="H158" s="4">
        <v>15</v>
      </c>
      <c r="I158" s="4">
        <v>25</v>
      </c>
      <c r="J158" s="4">
        <v>29</v>
      </c>
      <c r="K158" t="s">
        <v>8</v>
      </c>
      <c r="L158" t="s">
        <v>1022</v>
      </c>
      <c r="M158" t="s">
        <v>1022</v>
      </c>
      <c r="N158" s="5">
        <f>IF($E158="","",TEXTJOIN("|",TRUE,K158:M158))</f>
      </c>
      <c r="O158" t="s">
        <v>1022</v>
      </c>
    </row>
    <row r="159" spans="1:15" x14ac:dyDescent="0.25">
      <c r="A159" t="s">
        <v>1079</v>
      </c>
      <c r="B159" t="s">
        <v>1080</v>
      </c>
      <c r="C159" t="s">
        <v>6</v>
      </c>
      <c r="D159" t="s">
        <v>7</v>
      </c>
      <c r="E159" s="4">
        <v>19</v>
      </c>
      <c r="F159" s="5">
        <f>IF($E159="","",IFERROR(INDEX(PokemonRef!$C$2:$C$494,MATCH($E159,PokemonRef!$A$2:$A$494,0)),""))</f>
      </c>
      <c r="G159" s="5">
        <f>IF($E159="","",IFERROR(INDEX(PokemonRef!$B$2:$B$494,MATCH($E159,PokemonRef!$A$2:$A$494,0)),""))</f>
      </c>
      <c r="H159" s="4">
        <v>5</v>
      </c>
      <c r="I159" s="4">
        <v>22</v>
      </c>
      <c r="J159" s="4">
        <v>22</v>
      </c>
      <c r="K159" t="s">
        <v>8</v>
      </c>
      <c r="L159" t="s">
        <v>1022</v>
      </c>
      <c r="M159" t="s">
        <v>1022</v>
      </c>
      <c r="N159" s="5">
        <f>IF($E159="","",TEXTJOIN("|",TRUE,K159:M159))</f>
      </c>
      <c r="O159" t="s">
        <v>1022</v>
      </c>
    </row>
    <row r="160" spans="1:15" x14ac:dyDescent="0.25">
      <c r="A160" t="s">
        <v>1081</v>
      </c>
      <c r="B160" t="s">
        <v>1082</v>
      </c>
      <c r="C160" t="s">
        <v>1021</v>
      </c>
      <c r="D160" t="s">
        <v>10</v>
      </c>
      <c r="E160" s="4" t="s">
        <v>1022</v>
      </c>
      <c r="F160" s="5"/>
      <c r="G160" s="5"/>
      <c r="H160" s="4" t="s">
        <v>1022</v>
      </c>
      <c r="I160" s="4" t="s">
        <v>1022</v>
      </c>
      <c r="J160" s="4" t="s">
        <v>1022</v>
      </c>
      <c r="K160" t="s">
        <v>1022</v>
      </c>
      <c r="L160" t="s">
        <v>1022</v>
      </c>
      <c r="M160" t="s">
        <v>1022</v>
      </c>
      <c r="N160" s="5" t="s">
        <v>1022</v>
      </c>
      <c r="O160" t="s">
        <v>1022</v>
      </c>
    </row>
    <row r="161" spans="1:15" x14ac:dyDescent="0.25">
      <c r="A161" t="s">
        <v>1083</v>
      </c>
      <c r="B161" t="s">
        <v>1084</v>
      </c>
      <c r="C161" t="s">
        <v>12</v>
      </c>
      <c r="D161" t="s">
        <v>7</v>
      </c>
      <c r="E161" s="4">
        <v>129</v>
      </c>
      <c r="F161" s="5">
        <f>IF($E161="","",IFERROR(INDEX(PokemonRef!$C$2:$C$494,MATCH($E161,PokemonRef!$A$2:$A$494,0)),""))</f>
      </c>
      <c r="G161" s="5">
        <f>IF($E161="","",IFERROR(INDEX(PokemonRef!$B$2:$B$494,MATCH($E161,PokemonRef!$A$2:$A$494,0)),""))</f>
      </c>
      <c r="H161" s="4">
        <v>120</v>
      </c>
      <c r="I161" s="4">
        <v>5</v>
      </c>
      <c r="J161" s="4">
        <v>15</v>
      </c>
      <c r="K161" t="s">
        <v>14</v>
      </c>
      <c r="L161" t="s">
        <v>13</v>
      </c>
      <c r="M161" t="s">
        <v>1022</v>
      </c>
      <c r="N161" s="5">
        <f>IF($E161="","",TEXTJOIN("|",TRUE,K161:M161))</f>
      </c>
      <c r="O161" t="s">
        <v>1022</v>
      </c>
    </row>
    <row r="162" spans="1:15" x14ac:dyDescent="0.25">
      <c r="A162" t="s">
        <v>1083</v>
      </c>
      <c r="B162" t="s">
        <v>1084</v>
      </c>
      <c r="C162" t="s">
        <v>12</v>
      </c>
      <c r="D162" t="s">
        <v>7</v>
      </c>
      <c r="E162" s="4">
        <v>54</v>
      </c>
      <c r="F162" s="5">
        <f>IF($E162="","",IFERROR(INDEX(PokemonRef!$C$2:$C$494,MATCH($E162,PokemonRef!$A$2:$A$494,0)),""))</f>
      </c>
      <c r="G162" s="5">
        <f>IF($E162="","",IFERROR(INDEX(PokemonRef!$B$2:$B$494,MATCH($E162,PokemonRef!$A$2:$A$494,0)),""))</f>
      </c>
      <c r="H162" s="4">
        <v>104</v>
      </c>
      <c r="I162" s="4">
        <v>15</v>
      </c>
      <c r="J162" s="4">
        <v>40</v>
      </c>
      <c r="K162" t="s">
        <v>15</v>
      </c>
      <c r="L162" t="s">
        <v>11</v>
      </c>
      <c r="M162" t="s">
        <v>1022</v>
      </c>
      <c r="N162" s="5">
        <f>IF($E162="","",TEXTJOIN("|",TRUE,K162:M162))</f>
      </c>
      <c r="O162" t="s">
        <v>1022</v>
      </c>
    </row>
    <row r="163" spans="1:15" x14ac:dyDescent="0.25">
      <c r="A163" t="s">
        <v>1083</v>
      </c>
      <c r="B163" t="s">
        <v>1084</v>
      </c>
      <c r="C163" t="s">
        <v>12</v>
      </c>
      <c r="D163" t="s">
        <v>7</v>
      </c>
      <c r="E163" s="4">
        <v>79</v>
      </c>
      <c r="F163" s="5">
        <f>IF($E163="","",IFERROR(INDEX(PokemonRef!$C$2:$C$494,MATCH($E163,PokemonRef!$A$2:$A$494,0)),""))</f>
      </c>
      <c r="G163" s="5">
        <f>IF($E163="","",IFERROR(INDEX(PokemonRef!$B$2:$B$494,MATCH($E163,PokemonRef!$A$2:$A$494,0)),""))</f>
      </c>
      <c r="H163" s="4">
        <v>104</v>
      </c>
      <c r="I163" s="4">
        <v>15</v>
      </c>
      <c r="J163" s="4">
        <v>40</v>
      </c>
      <c r="K163" t="s">
        <v>15</v>
      </c>
      <c r="L163" t="s">
        <v>11</v>
      </c>
      <c r="M163" t="s">
        <v>1022</v>
      </c>
      <c r="N163" s="5">
        <f>IF($E163="","",TEXTJOIN("|",TRUE,K163:M163))</f>
      </c>
      <c r="O163" t="s">
        <v>1022</v>
      </c>
    </row>
    <row r="164" spans="1:15" x14ac:dyDescent="0.25">
      <c r="A164" t="s">
        <v>1083</v>
      </c>
      <c r="B164" t="s">
        <v>1084</v>
      </c>
      <c r="C164" t="s">
        <v>12</v>
      </c>
      <c r="D164" t="s">
        <v>7</v>
      </c>
      <c r="E164" s="4">
        <v>118</v>
      </c>
      <c r="F164" s="5">
        <f>IF($E164="","",IFERROR(INDEX(PokemonRef!$C$2:$C$494,MATCH($E164,PokemonRef!$A$2:$A$494,0)),""))</f>
      </c>
      <c r="G164" s="5">
        <f>IF($E164="","",IFERROR(INDEX(PokemonRef!$B$2:$B$494,MATCH($E164,PokemonRef!$A$2:$A$494,0)),""))</f>
      </c>
      <c r="H164" s="4">
        <v>100</v>
      </c>
      <c r="I164" s="4">
        <v>5</v>
      </c>
      <c r="J164" s="4">
        <v>25</v>
      </c>
      <c r="K164" t="s">
        <v>14</v>
      </c>
      <c r="L164" t="s">
        <v>15</v>
      </c>
      <c r="M164" t="s">
        <v>1022</v>
      </c>
      <c r="N164" s="5">
        <f>IF($E164="","",TEXTJOIN("|",TRUE,K164:M164))</f>
      </c>
      <c r="O164" t="s">
        <v>1022</v>
      </c>
    </row>
    <row r="165" spans="1:15" x14ac:dyDescent="0.25">
      <c r="A165" t="s">
        <v>1083</v>
      </c>
      <c r="B165" t="s">
        <v>1084</v>
      </c>
      <c r="C165" t="s">
        <v>12</v>
      </c>
      <c r="D165" t="s">
        <v>7</v>
      </c>
      <c r="E165" s="4">
        <v>119</v>
      </c>
      <c r="F165" s="5">
        <f>IF($E165="","",IFERROR(INDEX(PokemonRef!$C$2:$C$494,MATCH($E165,PokemonRef!$A$2:$A$494,0)),""))</f>
      </c>
      <c r="G165" s="5">
        <f>IF($E165="","",IFERROR(INDEX(PokemonRef!$B$2:$B$494,MATCH($E165,PokemonRef!$A$2:$A$494,0)),""))</f>
      </c>
      <c r="H165" s="4">
        <v>40</v>
      </c>
      <c r="I165" s="4">
        <v>20</v>
      </c>
      <c r="J165" s="4">
        <v>30</v>
      </c>
      <c r="K165" t="s">
        <v>15</v>
      </c>
      <c r="L165" t="s">
        <v>1022</v>
      </c>
      <c r="M165" t="s">
        <v>1022</v>
      </c>
      <c r="N165" s="5">
        <f>IF($E165="","",TEXTJOIN("|",TRUE,K165:M165))</f>
      </c>
      <c r="O165" t="s">
        <v>1022</v>
      </c>
    </row>
    <row r="166" spans="1:15" x14ac:dyDescent="0.25">
      <c r="A166" t="s">
        <v>1083</v>
      </c>
      <c r="B166" t="s">
        <v>1084</v>
      </c>
      <c r="C166" t="s">
        <v>12</v>
      </c>
      <c r="D166" t="s">
        <v>7</v>
      </c>
      <c r="E166" s="4">
        <v>29</v>
      </c>
      <c r="F166" s="5">
        <f>IF($E166="","",IFERROR(INDEX(PokemonRef!$C$2:$C$494,MATCH($E166,PokemonRef!$A$2:$A$494,0)),""))</f>
      </c>
      <c r="G166" s="5">
        <f>IF($E166="","",IFERROR(INDEX(PokemonRef!$B$2:$B$494,MATCH($E166,PokemonRef!$A$2:$A$494,0)),""))</f>
      </c>
      <c r="H166" s="4">
        <v>20</v>
      </c>
      <c r="I166" s="4">
        <v>22</v>
      </c>
      <c r="J166" s="4">
        <v>30</v>
      </c>
      <c r="K166" t="s">
        <v>8</v>
      </c>
      <c r="L166" t="s">
        <v>1022</v>
      </c>
      <c r="M166" t="s">
        <v>1022</v>
      </c>
      <c r="N166" s="5">
        <f>IF($E166="","",TEXTJOIN("|",TRUE,K166:M166))</f>
      </c>
      <c r="O166" t="s">
        <v>1022</v>
      </c>
    </row>
    <row r="167" spans="1:15" x14ac:dyDescent="0.25">
      <c r="A167" t="s">
        <v>1083</v>
      </c>
      <c r="B167" t="s">
        <v>1084</v>
      </c>
      <c r="C167" t="s">
        <v>12</v>
      </c>
      <c r="D167" t="s">
        <v>7</v>
      </c>
      <c r="E167" s="4">
        <v>32</v>
      </c>
      <c r="F167" s="5">
        <f>IF($E167="","",IFERROR(INDEX(PokemonRef!$C$2:$C$494,MATCH($E167,PokemonRef!$A$2:$A$494,0)),""))</f>
      </c>
      <c r="G167" s="5">
        <f>IF($E167="","",IFERROR(INDEX(PokemonRef!$B$2:$B$494,MATCH($E167,PokemonRef!$A$2:$A$494,0)),""))</f>
      </c>
      <c r="H167" s="4">
        <v>20</v>
      </c>
      <c r="I167" s="4">
        <v>22</v>
      </c>
      <c r="J167" s="4">
        <v>30</v>
      </c>
      <c r="K167" t="s">
        <v>8</v>
      </c>
      <c r="L167" t="s">
        <v>1022</v>
      </c>
      <c r="M167" t="s">
        <v>1022</v>
      </c>
      <c r="N167" s="5">
        <f>IF($E167="","",TEXTJOIN("|",TRUE,K167:M167))</f>
      </c>
      <c r="O167" t="s">
        <v>1022</v>
      </c>
    </row>
    <row r="168" spans="1:15" x14ac:dyDescent="0.25">
      <c r="A168" t="s">
        <v>1083</v>
      </c>
      <c r="B168" t="s">
        <v>1084</v>
      </c>
      <c r="C168" t="s">
        <v>12</v>
      </c>
      <c r="D168" t="s">
        <v>7</v>
      </c>
      <c r="E168" s="4">
        <v>60</v>
      </c>
      <c r="F168" s="5">
        <f>IF($E168="","",IFERROR(INDEX(PokemonRef!$C$2:$C$494,MATCH($E168,PokemonRef!$A$2:$A$494,0)),""))</f>
      </c>
      <c r="G168" s="5">
        <f>IF($E168="","",IFERROR(INDEX(PokemonRef!$B$2:$B$494,MATCH($E168,PokemonRef!$A$2:$A$494,0)),""))</f>
      </c>
      <c r="H168" s="4">
        <v>20</v>
      </c>
      <c r="I168" s="4">
        <v>5</v>
      </c>
      <c r="J168" s="4">
        <v>15</v>
      </c>
      <c r="K168" t="s">
        <v>14</v>
      </c>
      <c r="L168" t="s">
        <v>1022</v>
      </c>
      <c r="M168" t="s">
        <v>1022</v>
      </c>
      <c r="N168" s="5">
        <f>IF($E168="","",TEXTJOIN("|",TRUE,K168:M168))</f>
      </c>
      <c r="O168" t="s">
        <v>1022</v>
      </c>
    </row>
    <row r="169" spans="1:15" x14ac:dyDescent="0.25">
      <c r="A169" t="s">
        <v>1083</v>
      </c>
      <c r="B169" t="s">
        <v>1084</v>
      </c>
      <c r="C169" t="s">
        <v>12</v>
      </c>
      <c r="D169" t="s">
        <v>7</v>
      </c>
      <c r="E169" s="4">
        <v>84</v>
      </c>
      <c r="F169" s="5">
        <f>IF($E169="","",IFERROR(INDEX(PokemonRef!$C$2:$C$494,MATCH($E169,PokemonRef!$A$2:$A$494,0)),""))</f>
      </c>
      <c r="G169" s="5">
        <f>IF($E169="","",IFERROR(INDEX(PokemonRef!$B$2:$B$494,MATCH($E169,PokemonRef!$A$2:$A$494,0)),""))</f>
      </c>
      <c r="H169" s="4">
        <v>20</v>
      </c>
      <c r="I169" s="4">
        <v>26</v>
      </c>
      <c r="J169" s="4">
        <v>26</v>
      </c>
      <c r="K169" t="s">
        <v>8</v>
      </c>
      <c r="L169" t="s">
        <v>1022</v>
      </c>
      <c r="M169" t="s">
        <v>1022</v>
      </c>
      <c r="N169" s="5">
        <f>IF($E169="","",TEXTJOIN("|",TRUE,K169:M169))</f>
      </c>
      <c r="O169" t="s">
        <v>1022</v>
      </c>
    </row>
    <row r="170" spans="1:15" x14ac:dyDescent="0.25">
      <c r="A170" t="s">
        <v>1083</v>
      </c>
      <c r="B170" t="s">
        <v>1084</v>
      </c>
      <c r="C170" t="s">
        <v>12</v>
      </c>
      <c r="D170" t="s">
        <v>7</v>
      </c>
      <c r="E170" s="4">
        <v>102</v>
      </c>
      <c r="F170" s="5">
        <f>IF($E170="","",IFERROR(INDEX(PokemonRef!$C$2:$C$494,MATCH($E170,PokemonRef!$A$2:$A$494,0)),""))</f>
      </c>
      <c r="G170" s="5">
        <f>IF($E170="","",IFERROR(INDEX(PokemonRef!$B$2:$B$494,MATCH($E170,PokemonRef!$A$2:$A$494,0)),""))</f>
      </c>
      <c r="H170" s="4">
        <v>20</v>
      </c>
      <c r="I170" s="4">
        <v>23</v>
      </c>
      <c r="J170" s="4">
        <v>27</v>
      </c>
      <c r="K170" t="s">
        <v>8</v>
      </c>
      <c r="L170" t="s">
        <v>1022</v>
      </c>
      <c r="M170" t="s">
        <v>1022</v>
      </c>
      <c r="N170" s="5">
        <f>IF($E170="","",TEXTJOIN("|",TRUE,K170:M170))</f>
      </c>
      <c r="O170" t="s">
        <v>1022</v>
      </c>
    </row>
    <row r="171" spans="1:15" x14ac:dyDescent="0.25">
      <c r="A171" t="s">
        <v>1083</v>
      </c>
      <c r="B171" t="s">
        <v>1084</v>
      </c>
      <c r="C171" t="s">
        <v>12</v>
      </c>
      <c r="D171" t="s">
        <v>7</v>
      </c>
      <c r="E171" s="4">
        <v>111</v>
      </c>
      <c r="F171" s="5">
        <f>IF($E171="","",IFERROR(INDEX(PokemonRef!$C$2:$C$494,MATCH($E171,PokemonRef!$A$2:$A$494,0)),""))</f>
      </c>
      <c r="G171" s="5">
        <f>IF($E171="","",IFERROR(INDEX(PokemonRef!$B$2:$B$494,MATCH($E171,PokemonRef!$A$2:$A$494,0)),""))</f>
      </c>
      <c r="H171" s="4">
        <v>20</v>
      </c>
      <c r="I171" s="4">
        <v>25</v>
      </c>
      <c r="J171" s="4">
        <v>26</v>
      </c>
      <c r="K171" t="s">
        <v>8</v>
      </c>
      <c r="L171" t="s">
        <v>1022</v>
      </c>
      <c r="M171" t="s">
        <v>1022</v>
      </c>
      <c r="N171" s="5">
        <f>IF($E171="","",TEXTJOIN("|",TRUE,K171:M171))</f>
      </c>
      <c r="O171" t="s">
        <v>1022</v>
      </c>
    </row>
    <row r="172" spans="1:15" x14ac:dyDescent="0.25">
      <c r="A172" t="s">
        <v>1083</v>
      </c>
      <c r="B172" t="s">
        <v>1084</v>
      </c>
      <c r="C172" t="s">
        <v>12</v>
      </c>
      <c r="D172" t="s">
        <v>7</v>
      </c>
      <c r="E172" s="4">
        <v>46</v>
      </c>
      <c r="F172" s="5">
        <f>IF($E172="","",IFERROR(INDEX(PokemonRef!$C$2:$C$494,MATCH($E172,PokemonRef!$A$2:$A$494,0)),""))</f>
      </c>
      <c r="G172" s="5">
        <f>IF($E172="","",IFERROR(INDEX(PokemonRef!$B$2:$B$494,MATCH($E172,PokemonRef!$A$2:$A$494,0)),""))</f>
      </c>
      <c r="H172" s="4">
        <v>15</v>
      </c>
      <c r="I172" s="4">
        <v>22</v>
      </c>
      <c r="J172" s="4">
        <v>23</v>
      </c>
      <c r="K172" t="s">
        <v>8</v>
      </c>
      <c r="L172" t="s">
        <v>1022</v>
      </c>
      <c r="M172" t="s">
        <v>1022</v>
      </c>
      <c r="N172" s="5">
        <f>IF($E172="","",TEXTJOIN("|",TRUE,K172:M172))</f>
      </c>
      <c r="O172" t="s">
        <v>1022</v>
      </c>
    </row>
    <row r="173" spans="1:15" x14ac:dyDescent="0.25">
      <c r="A173" t="s">
        <v>1083</v>
      </c>
      <c r="B173" t="s">
        <v>1084</v>
      </c>
      <c r="C173" t="s">
        <v>12</v>
      </c>
      <c r="D173" t="s">
        <v>7</v>
      </c>
      <c r="E173" s="4">
        <v>48</v>
      </c>
      <c r="F173" s="5">
        <f>IF($E173="","",IFERROR(INDEX(PokemonRef!$C$2:$C$494,MATCH($E173,PokemonRef!$A$2:$A$494,0)),""))</f>
      </c>
      <c r="G173" s="5">
        <f>IF($E173="","",IFERROR(INDEX(PokemonRef!$B$2:$B$494,MATCH($E173,PokemonRef!$A$2:$A$494,0)),""))</f>
      </c>
      <c r="H173" s="4">
        <v>15</v>
      </c>
      <c r="I173" s="4">
        <v>22</v>
      </c>
      <c r="J173" s="4">
        <v>23</v>
      </c>
      <c r="K173" t="s">
        <v>8</v>
      </c>
      <c r="L173" t="s">
        <v>1022</v>
      </c>
      <c r="M173" t="s">
        <v>1022</v>
      </c>
      <c r="N173" s="5">
        <f>IF($E173="","",TEXTJOIN("|",TRUE,K173:M173))</f>
      </c>
      <c r="O173" t="s">
        <v>1022</v>
      </c>
    </row>
    <row r="174" spans="1:15" x14ac:dyDescent="0.25">
      <c r="A174" t="s">
        <v>1083</v>
      </c>
      <c r="B174" t="s">
        <v>1084</v>
      </c>
      <c r="C174" t="s">
        <v>12</v>
      </c>
      <c r="D174" t="s">
        <v>7</v>
      </c>
      <c r="E174" s="4">
        <v>147</v>
      </c>
      <c r="F174" s="5">
        <f>IF($E174="","",IFERROR(INDEX(PokemonRef!$C$2:$C$494,MATCH($E174,PokemonRef!$A$2:$A$494,0)),""))</f>
      </c>
      <c r="G174" s="5">
        <f>IF($E174="","",IFERROR(INDEX(PokemonRef!$B$2:$B$494,MATCH($E174,PokemonRef!$A$2:$A$494,0)),""))</f>
      </c>
      <c r="H174" s="4">
        <v>15</v>
      </c>
      <c r="I174" s="4">
        <v>15</v>
      </c>
      <c r="J174" s="4">
        <v>25</v>
      </c>
      <c r="K174" t="s">
        <v>15</v>
      </c>
      <c r="L174" t="s">
        <v>1022</v>
      </c>
      <c r="M174" t="s">
        <v>1022</v>
      </c>
      <c r="N174" s="5">
        <f>IF($E174="","",TEXTJOIN("|",TRUE,K174:M174))</f>
      </c>
      <c r="O174" t="s">
        <v>1022</v>
      </c>
    </row>
    <row r="175" spans="1:15" x14ac:dyDescent="0.25">
      <c r="A175" t="s">
        <v>1083</v>
      </c>
      <c r="B175" t="s">
        <v>1084</v>
      </c>
      <c r="C175" t="s">
        <v>12</v>
      </c>
      <c r="D175" t="s">
        <v>7</v>
      </c>
      <c r="E175" s="4">
        <v>30</v>
      </c>
      <c r="F175" s="5">
        <f>IF($E175="","",IFERROR(INDEX(PokemonRef!$C$2:$C$494,MATCH($E175,PokemonRef!$A$2:$A$494,0)),""))</f>
      </c>
      <c r="G175" s="5">
        <f>IF($E175="","",IFERROR(INDEX(PokemonRef!$B$2:$B$494,MATCH($E175,PokemonRef!$A$2:$A$494,0)),""))</f>
      </c>
      <c r="H175" s="4">
        <v>10</v>
      </c>
      <c r="I175" s="4">
        <v>30</v>
      </c>
      <c r="J175" s="4">
        <v>33</v>
      </c>
      <c r="K175" t="s">
        <v>8</v>
      </c>
      <c r="L175" t="s">
        <v>1022</v>
      </c>
      <c r="M175" t="s">
        <v>1022</v>
      </c>
      <c r="N175" s="5">
        <f>IF($E175="","",TEXTJOIN("|",TRUE,K175:M175))</f>
      </c>
      <c r="O175" t="s">
        <v>1022</v>
      </c>
    </row>
    <row r="176" spans="1:15" x14ac:dyDescent="0.25">
      <c r="A176" t="s">
        <v>1083</v>
      </c>
      <c r="B176" t="s">
        <v>1084</v>
      </c>
      <c r="C176" t="s">
        <v>12</v>
      </c>
      <c r="D176" t="s">
        <v>7</v>
      </c>
      <c r="E176" s="4">
        <v>33</v>
      </c>
      <c r="F176" s="5">
        <f>IF($E176="","",IFERROR(INDEX(PokemonRef!$C$2:$C$494,MATCH($E176,PokemonRef!$A$2:$A$494,0)),""))</f>
      </c>
      <c r="G176" s="5">
        <f>IF($E176="","",IFERROR(INDEX(PokemonRef!$B$2:$B$494,MATCH($E176,PokemonRef!$A$2:$A$494,0)),""))</f>
      </c>
      <c r="H176" s="4">
        <v>10</v>
      </c>
      <c r="I176" s="4">
        <v>30</v>
      </c>
      <c r="J176" s="4">
        <v>33</v>
      </c>
      <c r="K176" t="s">
        <v>8</v>
      </c>
      <c r="L176" t="s">
        <v>1022</v>
      </c>
      <c r="M176" t="s">
        <v>1022</v>
      </c>
      <c r="N176" s="5">
        <f>IF($E176="","",TEXTJOIN("|",TRUE,K176:M176))</f>
      </c>
      <c r="O176" t="s">
        <v>1022</v>
      </c>
    </row>
    <row r="177" spans="1:15" x14ac:dyDescent="0.25">
      <c r="A177" t="s">
        <v>1083</v>
      </c>
      <c r="B177" t="s">
        <v>1084</v>
      </c>
      <c r="C177" t="s">
        <v>12</v>
      </c>
      <c r="D177" t="s">
        <v>7</v>
      </c>
      <c r="E177" s="4">
        <v>47</v>
      </c>
      <c r="F177" s="5">
        <f>IF($E177="","",IFERROR(INDEX(PokemonRef!$C$2:$C$494,MATCH($E177,PokemonRef!$A$2:$A$494,0)),""))</f>
      </c>
      <c r="G177" s="5">
        <f>IF($E177="","",IFERROR(INDEX(PokemonRef!$B$2:$B$494,MATCH($E177,PokemonRef!$A$2:$A$494,0)),""))</f>
      </c>
      <c r="H177" s="4">
        <v>5</v>
      </c>
      <c r="I177" s="4">
        <v>25</v>
      </c>
      <c r="J177" s="4">
        <v>30</v>
      </c>
      <c r="K177" t="s">
        <v>8</v>
      </c>
      <c r="L177" t="s">
        <v>1022</v>
      </c>
      <c r="M177" t="s">
        <v>1022</v>
      </c>
      <c r="N177" s="5">
        <f>IF($E177="","",TEXTJOIN("|",TRUE,K177:M177))</f>
      </c>
      <c r="O177" t="s">
        <v>1022</v>
      </c>
    </row>
    <row r="178" spans="1:15" x14ac:dyDescent="0.25">
      <c r="A178" t="s">
        <v>1083</v>
      </c>
      <c r="B178" t="s">
        <v>1084</v>
      </c>
      <c r="C178" t="s">
        <v>12</v>
      </c>
      <c r="D178" t="s">
        <v>7</v>
      </c>
      <c r="E178" s="4">
        <v>49</v>
      </c>
      <c r="F178" s="5">
        <f>IF($E178="","",IFERROR(INDEX(PokemonRef!$C$2:$C$494,MATCH($E178,PokemonRef!$A$2:$A$494,0)),""))</f>
      </c>
      <c r="G178" s="5">
        <f>IF($E178="","",IFERROR(INDEX(PokemonRef!$B$2:$B$494,MATCH($E178,PokemonRef!$A$2:$A$494,0)),""))</f>
      </c>
      <c r="H178" s="4">
        <v>5</v>
      </c>
      <c r="I178" s="4">
        <v>32</v>
      </c>
      <c r="J178" s="4">
        <v>32</v>
      </c>
      <c r="K178" t="s">
        <v>8</v>
      </c>
      <c r="L178" t="s">
        <v>1022</v>
      </c>
      <c r="M178" t="s">
        <v>1022</v>
      </c>
      <c r="N178" s="5">
        <f>IF($E178="","",TEXTJOIN("|",TRUE,K178:M178))</f>
      </c>
      <c r="O178" t="s">
        <v>1022</v>
      </c>
    </row>
    <row r="179" spans="1:15" x14ac:dyDescent="0.25">
      <c r="A179" t="s">
        <v>1083</v>
      </c>
      <c r="B179" t="s">
        <v>1084</v>
      </c>
      <c r="C179" t="s">
        <v>12</v>
      </c>
      <c r="D179" t="s">
        <v>7</v>
      </c>
      <c r="E179" s="4">
        <v>113</v>
      </c>
      <c r="F179" s="5">
        <f>IF($E179="","",IFERROR(INDEX(PokemonRef!$C$2:$C$494,MATCH($E179,PokemonRef!$A$2:$A$494,0)),""))</f>
      </c>
      <c r="G179" s="5">
        <f>IF($E179="","",IFERROR(INDEX(PokemonRef!$B$2:$B$494,MATCH($E179,PokemonRef!$A$2:$A$494,0)),""))</f>
      </c>
      <c r="H179" s="4">
        <v>4</v>
      </c>
      <c r="I179" s="4">
        <v>23</v>
      </c>
      <c r="J179" s="4">
        <v>26</v>
      </c>
      <c r="K179" t="s">
        <v>8</v>
      </c>
      <c r="L179" t="s">
        <v>1022</v>
      </c>
      <c r="M179" t="s">
        <v>1022</v>
      </c>
      <c r="N179" s="5">
        <f>IF($E179="","",TEXTJOIN("|",TRUE,K179:M179))</f>
      </c>
      <c r="O179" t="s">
        <v>1022</v>
      </c>
    </row>
    <row r="180" spans="1:15" x14ac:dyDescent="0.25">
      <c r="A180" t="s">
        <v>1083</v>
      </c>
      <c r="B180" t="s">
        <v>1084</v>
      </c>
      <c r="C180" t="s">
        <v>12</v>
      </c>
      <c r="D180" t="s">
        <v>7</v>
      </c>
      <c r="E180" s="4">
        <v>115</v>
      </c>
      <c r="F180" s="5">
        <f>IF($E180="","",IFERROR(INDEX(PokemonRef!$C$2:$C$494,MATCH($E180,PokemonRef!$A$2:$A$494,0)),""))</f>
      </c>
      <c r="G180" s="5">
        <f>IF($E180="","",IFERROR(INDEX(PokemonRef!$B$2:$B$494,MATCH($E180,PokemonRef!$A$2:$A$494,0)),""))</f>
      </c>
      <c r="H180" s="4">
        <v>4</v>
      </c>
      <c r="I180" s="4">
        <v>25</v>
      </c>
      <c r="J180" s="4">
        <v>28</v>
      </c>
      <c r="K180" t="s">
        <v>8</v>
      </c>
      <c r="L180" t="s">
        <v>1022</v>
      </c>
      <c r="M180" t="s">
        <v>1022</v>
      </c>
      <c r="N180" s="5">
        <f>IF($E180="","",TEXTJOIN("|",TRUE,K180:M180))</f>
      </c>
      <c r="O180" t="s">
        <v>1022</v>
      </c>
    </row>
    <row r="181" spans="1:15" x14ac:dyDescent="0.25">
      <c r="A181" t="s">
        <v>1083</v>
      </c>
      <c r="B181" t="s">
        <v>1084</v>
      </c>
      <c r="C181" t="s">
        <v>12</v>
      </c>
      <c r="D181" t="s">
        <v>7</v>
      </c>
      <c r="E181" s="4">
        <v>123</v>
      </c>
      <c r="F181" s="5">
        <f>IF($E181="","",IFERROR(INDEX(PokemonRef!$C$2:$C$494,MATCH($E181,PokemonRef!$A$2:$A$494,0)),""))</f>
      </c>
      <c r="G181" s="5">
        <f>IF($E181="","",IFERROR(INDEX(PokemonRef!$B$2:$B$494,MATCH($E181,PokemonRef!$A$2:$A$494,0)),""))</f>
      </c>
      <c r="H181" s="4">
        <v>4</v>
      </c>
      <c r="I181" s="4">
        <v>23</v>
      </c>
      <c r="J181" s="4">
        <v>28</v>
      </c>
      <c r="K181" t="s">
        <v>8</v>
      </c>
      <c r="L181" t="s">
        <v>1022</v>
      </c>
      <c r="M181" t="s">
        <v>1022</v>
      </c>
      <c r="N181" s="5">
        <f>IF($E181="","",TEXTJOIN("|",TRUE,K181:M181))</f>
      </c>
      <c r="O181" t="s">
        <v>1022</v>
      </c>
    </row>
    <row r="182" spans="1:15" x14ac:dyDescent="0.25">
      <c r="A182" t="s">
        <v>1083</v>
      </c>
      <c r="B182" t="s">
        <v>1084</v>
      </c>
      <c r="C182" t="s">
        <v>12</v>
      </c>
      <c r="D182" t="s">
        <v>7</v>
      </c>
      <c r="E182" s="4">
        <v>127</v>
      </c>
      <c r="F182" s="5">
        <f>IF($E182="","",IFERROR(INDEX(PokemonRef!$C$2:$C$494,MATCH($E182,PokemonRef!$A$2:$A$494,0)),""))</f>
      </c>
      <c r="G182" s="5">
        <f>IF($E182="","",IFERROR(INDEX(PokemonRef!$B$2:$B$494,MATCH($E182,PokemonRef!$A$2:$A$494,0)),""))</f>
      </c>
      <c r="H182" s="4">
        <v>4</v>
      </c>
      <c r="I182" s="4">
        <v>23</v>
      </c>
      <c r="J182" s="4">
        <v>28</v>
      </c>
      <c r="K182" t="s">
        <v>8</v>
      </c>
      <c r="L182" t="s">
        <v>1022</v>
      </c>
      <c r="M182" t="s">
        <v>1022</v>
      </c>
      <c r="N182" s="5">
        <f>IF($E182="","",TEXTJOIN("|",TRUE,K182:M182))</f>
      </c>
      <c r="O182" t="s">
        <v>1022</v>
      </c>
    </row>
    <row r="183" spans="1:15" x14ac:dyDescent="0.25">
      <c r="A183" t="s">
        <v>1083</v>
      </c>
      <c r="B183" t="s">
        <v>1084</v>
      </c>
      <c r="C183" t="s">
        <v>12</v>
      </c>
      <c r="D183" t="s">
        <v>7</v>
      </c>
      <c r="E183" s="4">
        <v>128</v>
      </c>
      <c r="F183" s="5">
        <f>IF($E183="","",IFERROR(INDEX(PokemonRef!$C$2:$C$494,MATCH($E183,PokemonRef!$A$2:$A$494,0)),""))</f>
      </c>
      <c r="G183" s="5">
        <f>IF($E183="","",IFERROR(INDEX(PokemonRef!$B$2:$B$494,MATCH($E183,PokemonRef!$A$2:$A$494,0)),""))</f>
      </c>
      <c r="H183" s="4">
        <v>4</v>
      </c>
      <c r="I183" s="4">
        <v>25</v>
      </c>
      <c r="J183" s="4">
        <v>28</v>
      </c>
      <c r="K183" t="s">
        <v>8</v>
      </c>
      <c r="L183" t="s">
        <v>1022</v>
      </c>
      <c r="M183" t="s">
        <v>1022</v>
      </c>
      <c r="N183" s="5">
        <f>IF($E183="","",TEXTJOIN("|",TRUE,K183:M183))</f>
      </c>
      <c r="O183" t="s">
        <v>1022</v>
      </c>
    </row>
    <row r="184" spans="1:15" x14ac:dyDescent="0.25">
      <c r="A184" t="s">
        <v>1083</v>
      </c>
      <c r="B184" t="s">
        <v>1084</v>
      </c>
      <c r="C184" t="s">
        <v>12</v>
      </c>
      <c r="D184" t="s">
        <v>7</v>
      </c>
      <c r="E184" s="4">
        <v>148</v>
      </c>
      <c r="F184" s="5">
        <f>IF($E184="","",IFERROR(INDEX(PokemonRef!$C$2:$C$494,MATCH($E184,PokemonRef!$A$2:$A$494,0)),""))</f>
      </c>
      <c r="G184" s="5">
        <f>IF($E184="","",IFERROR(INDEX(PokemonRef!$B$2:$B$494,MATCH($E184,PokemonRef!$A$2:$A$494,0)),""))</f>
      </c>
      <c r="H184" s="4">
        <v>1</v>
      </c>
      <c r="I184" s="4">
        <v>25</v>
      </c>
      <c r="J184" s="4">
        <v>35</v>
      </c>
      <c r="K184" t="s">
        <v>15</v>
      </c>
      <c r="L184" t="s">
        <v>1022</v>
      </c>
      <c r="M184" t="s">
        <v>1022</v>
      </c>
      <c r="N184" s="5">
        <f>IF($E184="","",TEXTJOIN("|",TRUE,K184:M184))</f>
      </c>
      <c r="O184" t="s">
        <v>1022</v>
      </c>
    </row>
    <row r="185" spans="1:15" x14ac:dyDescent="0.25">
      <c r="A185" t="s">
        <v>1085</v>
      </c>
      <c r="B185" t="s">
        <v>1086</v>
      </c>
      <c r="C185" t="s">
        <v>6</v>
      </c>
      <c r="D185" t="s">
        <v>7</v>
      </c>
      <c r="E185" s="4">
        <v>43</v>
      </c>
      <c r="F185" s="5">
        <f>IF($E185="","",IFERROR(INDEX(PokemonRef!$C$2:$C$494,MATCH($E185,PokemonRef!$A$2:$A$494,0)),""))</f>
      </c>
      <c r="G185" s="5">
        <f>IF($E185="","",IFERROR(INDEX(PokemonRef!$B$2:$B$494,MATCH($E185,PokemonRef!$A$2:$A$494,0)),""))</f>
      </c>
      <c r="H185" s="4">
        <v>35</v>
      </c>
      <c r="I185" s="4">
        <v>22</v>
      </c>
      <c r="J185" s="4">
        <v>26</v>
      </c>
      <c r="K185" t="s">
        <v>8</v>
      </c>
      <c r="L185" t="s">
        <v>1022</v>
      </c>
      <c r="M185" t="s">
        <v>1022</v>
      </c>
      <c r="N185" s="5">
        <f>IF($E185="","",TEXTJOIN("|",TRUE,K185:M185))</f>
      </c>
      <c r="O185" t="s">
        <v>1022</v>
      </c>
    </row>
    <row r="186" spans="1:15" x14ac:dyDescent="0.25">
      <c r="A186" t="s">
        <v>1085</v>
      </c>
      <c r="B186" t="s">
        <v>1086</v>
      </c>
      <c r="C186" t="s">
        <v>6</v>
      </c>
      <c r="D186" t="s">
        <v>7</v>
      </c>
      <c r="E186" s="4">
        <v>69</v>
      </c>
      <c r="F186" s="5">
        <f>IF($E186="","",IFERROR(INDEX(PokemonRef!$C$2:$C$494,MATCH($E186,PokemonRef!$A$2:$A$494,0)),""))</f>
      </c>
      <c r="G186" s="5">
        <f>IF($E186="","",IFERROR(INDEX(PokemonRef!$B$2:$B$494,MATCH($E186,PokemonRef!$A$2:$A$494,0)),""))</f>
      </c>
      <c r="H186" s="4">
        <v>35</v>
      </c>
      <c r="I186" s="4">
        <v>22</v>
      </c>
      <c r="J186" s="4">
        <v>26</v>
      </c>
      <c r="K186" t="s">
        <v>8</v>
      </c>
      <c r="L186" t="s">
        <v>1022</v>
      </c>
      <c r="M186" t="s">
        <v>1022</v>
      </c>
      <c r="N186" s="5">
        <f>IF($E186="","",TEXTJOIN("|",TRUE,K186:M186))</f>
      </c>
      <c r="O186" t="s">
        <v>1022</v>
      </c>
    </row>
    <row r="187" spans="1:15" x14ac:dyDescent="0.25">
      <c r="A187" t="s">
        <v>1085</v>
      </c>
      <c r="B187" t="s">
        <v>1086</v>
      </c>
      <c r="C187" t="s">
        <v>6</v>
      </c>
      <c r="D187" t="s">
        <v>7</v>
      </c>
      <c r="E187" s="4">
        <v>48</v>
      </c>
      <c r="F187" s="5">
        <f>IF($E187="","",IFERROR(INDEX(PokemonRef!$C$2:$C$494,MATCH($E187,PokemonRef!$A$2:$A$494,0)),""))</f>
      </c>
      <c r="G187" s="5">
        <f>IF($E187="","",IFERROR(INDEX(PokemonRef!$B$2:$B$494,MATCH($E187,PokemonRef!$A$2:$A$494,0)),""))</f>
      </c>
      <c r="H187" s="4">
        <v>30</v>
      </c>
      <c r="I187" s="4">
        <v>24</v>
      </c>
      <c r="J187" s="4">
        <v>26</v>
      </c>
      <c r="K187" t="s">
        <v>8</v>
      </c>
      <c r="L187" t="s">
        <v>1022</v>
      </c>
      <c r="M187" t="s">
        <v>1022</v>
      </c>
      <c r="N187" s="5">
        <f>IF($E187="","",TEXTJOIN("|",TRUE,K187:M187))</f>
      </c>
      <c r="O187" t="s">
        <v>1022</v>
      </c>
    </row>
    <row r="188" spans="1:15" x14ac:dyDescent="0.25">
      <c r="A188" t="s">
        <v>1085</v>
      </c>
      <c r="B188" t="s">
        <v>1086</v>
      </c>
      <c r="C188" t="s">
        <v>6</v>
      </c>
      <c r="D188" t="s">
        <v>7</v>
      </c>
      <c r="E188" s="4">
        <v>16</v>
      </c>
      <c r="F188" s="5">
        <f>IF($E188="","",IFERROR(INDEX(PokemonRef!$C$2:$C$494,MATCH($E188,PokemonRef!$A$2:$A$494,0)),""))</f>
      </c>
      <c r="G188" s="5">
        <f>IF($E188="","",IFERROR(INDEX(PokemonRef!$B$2:$B$494,MATCH($E188,PokemonRef!$A$2:$A$494,0)),""))</f>
      </c>
      <c r="H188" s="4">
        <v>20</v>
      </c>
      <c r="I188" s="4">
        <v>25</v>
      </c>
      <c r="J188" s="4">
        <v>27</v>
      </c>
      <c r="K188" t="s">
        <v>8</v>
      </c>
      <c r="L188" t="s">
        <v>1022</v>
      </c>
      <c r="M188" t="s">
        <v>1022</v>
      </c>
      <c r="N188" s="5">
        <f>IF($E188="","",TEXTJOIN("|",TRUE,K188:M188))</f>
      </c>
      <c r="O188" t="s">
        <v>1022</v>
      </c>
    </row>
    <row r="189" spans="1:15" x14ac:dyDescent="0.25">
      <c r="A189" t="s">
        <v>1085</v>
      </c>
      <c r="B189" t="s">
        <v>1086</v>
      </c>
      <c r="C189" t="s">
        <v>6</v>
      </c>
      <c r="D189" t="s">
        <v>7</v>
      </c>
      <c r="E189" s="4">
        <v>17</v>
      </c>
      <c r="F189" s="5">
        <f>IF($E189="","",IFERROR(INDEX(PokemonRef!$C$2:$C$494,MATCH($E189,PokemonRef!$A$2:$A$494,0)),""))</f>
      </c>
      <c r="G189" s="5">
        <f>IF($E189="","",IFERROR(INDEX(PokemonRef!$B$2:$B$494,MATCH($E189,PokemonRef!$A$2:$A$494,0)),""))</f>
      </c>
      <c r="H189" s="4">
        <v>5</v>
      </c>
      <c r="I189" s="4">
        <v>29</v>
      </c>
      <c r="J189" s="4">
        <v>29</v>
      </c>
      <c r="K189" t="s">
        <v>8</v>
      </c>
      <c r="L189" t="s">
        <v>1022</v>
      </c>
      <c r="M189" t="s">
        <v>1022</v>
      </c>
      <c r="N189" s="5">
        <f>IF($E189="","",TEXTJOIN("|",TRUE,K189:M189))</f>
      </c>
      <c r="O189" t="s">
        <v>1022</v>
      </c>
    </row>
    <row r="190" spans="1:15" x14ac:dyDescent="0.25">
      <c r="A190" t="s">
        <v>1085</v>
      </c>
      <c r="B190" t="s">
        <v>1086</v>
      </c>
      <c r="C190" t="s">
        <v>6</v>
      </c>
      <c r="D190" t="s">
        <v>7</v>
      </c>
      <c r="E190" s="4">
        <v>44</v>
      </c>
      <c r="F190" s="5">
        <f>IF($E190="","",IFERROR(INDEX(PokemonRef!$C$2:$C$494,MATCH($E190,PokemonRef!$A$2:$A$494,0)),""))</f>
      </c>
      <c r="G190" s="5">
        <f>IF($E190="","",IFERROR(INDEX(PokemonRef!$B$2:$B$494,MATCH($E190,PokemonRef!$A$2:$A$494,0)),""))</f>
      </c>
      <c r="H190" s="4">
        <v>5</v>
      </c>
      <c r="I190" s="4">
        <v>28</v>
      </c>
      <c r="J190" s="4">
        <v>30</v>
      </c>
      <c r="K190" t="s">
        <v>8</v>
      </c>
      <c r="L190" t="s">
        <v>1022</v>
      </c>
      <c r="M190" t="s">
        <v>1022</v>
      </c>
      <c r="N190" s="5">
        <f>IF($E190="","",TEXTJOIN("|",TRUE,K190:M190))</f>
      </c>
      <c r="O190" t="s">
        <v>1022</v>
      </c>
    </row>
    <row r="191" spans="1:15" x14ac:dyDescent="0.25">
      <c r="A191" t="s">
        <v>1085</v>
      </c>
      <c r="B191" t="s">
        <v>1086</v>
      </c>
      <c r="C191" t="s">
        <v>6</v>
      </c>
      <c r="D191" t="s">
        <v>7</v>
      </c>
      <c r="E191" s="4">
        <v>70</v>
      </c>
      <c r="F191" s="5">
        <f>IF($E191="","",IFERROR(INDEX(PokemonRef!$C$2:$C$494,MATCH($E191,PokemonRef!$A$2:$A$494,0)),""))</f>
      </c>
      <c r="G191" s="5">
        <f>IF($E191="","",IFERROR(INDEX(PokemonRef!$B$2:$B$494,MATCH($E191,PokemonRef!$A$2:$A$494,0)),""))</f>
      </c>
      <c r="H191" s="4">
        <v>5</v>
      </c>
      <c r="I191" s="4">
        <v>28</v>
      </c>
      <c r="J191" s="4">
        <v>30</v>
      </c>
      <c r="K191" t="s">
        <v>8</v>
      </c>
      <c r="L191" t="s">
        <v>1022</v>
      </c>
      <c r="M191" t="s">
        <v>1022</v>
      </c>
      <c r="N191" s="5">
        <f>IF($E191="","",TEXTJOIN("|",TRUE,K191:M191))</f>
      </c>
      <c r="O191" t="s">
        <v>1022</v>
      </c>
    </row>
    <row r="192" spans="1:15" x14ac:dyDescent="0.25">
      <c r="A192" t="s">
        <v>1085</v>
      </c>
      <c r="B192" t="s">
        <v>1086</v>
      </c>
      <c r="C192" t="s">
        <v>6</v>
      </c>
      <c r="D192" t="s">
        <v>7</v>
      </c>
      <c r="E192" s="4">
        <v>132</v>
      </c>
      <c r="F192" s="5">
        <f>IF($E192="","",IFERROR(INDEX(PokemonRef!$C$2:$C$494,MATCH($E192,PokemonRef!$A$2:$A$494,0)),""))</f>
      </c>
      <c r="G192" s="5">
        <f>IF($E192="","",IFERROR(INDEX(PokemonRef!$B$2:$B$494,MATCH($E192,PokemonRef!$A$2:$A$494,0)),""))</f>
      </c>
      <c r="H192" s="4">
        <v>5</v>
      </c>
      <c r="I192" s="4">
        <v>25</v>
      </c>
      <c r="J192" s="4">
        <v>25</v>
      </c>
      <c r="K192" t="s">
        <v>8</v>
      </c>
      <c r="L192" t="s">
        <v>1022</v>
      </c>
      <c r="M192" t="s">
        <v>1022</v>
      </c>
      <c r="N192" s="5">
        <f>IF($E192="","",TEXTJOIN("|",TRUE,K192:M192))</f>
      </c>
      <c r="O192" t="s">
        <v>1022</v>
      </c>
    </row>
    <row r="193" spans="1:15" x14ac:dyDescent="0.25">
      <c r="A193" t="s">
        <v>1087</v>
      </c>
      <c r="B193" t="s">
        <v>1088</v>
      </c>
      <c r="C193" t="s">
        <v>6</v>
      </c>
      <c r="D193" t="s">
        <v>7</v>
      </c>
      <c r="E193" s="4">
        <v>43</v>
      </c>
      <c r="F193" s="5">
        <f>IF($E193="","",IFERROR(INDEX(PokemonRef!$C$2:$C$494,MATCH($E193,PokemonRef!$A$2:$A$494,0)),""))</f>
      </c>
      <c r="G193" s="5">
        <f>IF($E193="","",IFERROR(INDEX(PokemonRef!$B$2:$B$494,MATCH($E193,PokemonRef!$A$2:$A$494,0)),""))</f>
      </c>
      <c r="H193" s="4">
        <v>35</v>
      </c>
      <c r="I193" s="4">
        <v>22</v>
      </c>
      <c r="J193" s="4">
        <v>26</v>
      </c>
      <c r="K193" t="s">
        <v>8</v>
      </c>
      <c r="L193" t="s">
        <v>1022</v>
      </c>
      <c r="M193" t="s">
        <v>1022</v>
      </c>
      <c r="N193" s="5">
        <f>IF($E193="","",TEXTJOIN("|",TRUE,K193:M193))</f>
      </c>
      <c r="O193" t="s">
        <v>1022</v>
      </c>
    </row>
    <row r="194" spans="1:15" x14ac:dyDescent="0.25">
      <c r="A194" t="s">
        <v>1087</v>
      </c>
      <c r="B194" t="s">
        <v>1088</v>
      </c>
      <c r="C194" t="s">
        <v>6</v>
      </c>
      <c r="D194" t="s">
        <v>7</v>
      </c>
      <c r="E194" s="4">
        <v>69</v>
      </c>
      <c r="F194" s="5">
        <f>IF($E194="","",IFERROR(INDEX(PokemonRef!$C$2:$C$494,MATCH($E194,PokemonRef!$A$2:$A$494,0)),""))</f>
      </c>
      <c r="G194" s="5">
        <f>IF($E194="","",IFERROR(INDEX(PokemonRef!$B$2:$B$494,MATCH($E194,PokemonRef!$A$2:$A$494,0)),""))</f>
      </c>
      <c r="H194" s="4">
        <v>35</v>
      </c>
      <c r="I194" s="4">
        <v>22</v>
      </c>
      <c r="J194" s="4">
        <v>26</v>
      </c>
      <c r="K194" t="s">
        <v>8</v>
      </c>
      <c r="L194" t="s">
        <v>1022</v>
      </c>
      <c r="M194" t="s">
        <v>1022</v>
      </c>
      <c r="N194" s="5">
        <f>IF($E194="","",TEXTJOIN("|",TRUE,K194:M194))</f>
      </c>
      <c r="O194" t="s">
        <v>1022</v>
      </c>
    </row>
    <row r="195" spans="1:15" x14ac:dyDescent="0.25">
      <c r="A195" t="s">
        <v>1087</v>
      </c>
      <c r="B195" t="s">
        <v>1088</v>
      </c>
      <c r="C195" t="s">
        <v>6</v>
      </c>
      <c r="D195" t="s">
        <v>7</v>
      </c>
      <c r="E195" s="4">
        <v>48</v>
      </c>
      <c r="F195" s="5">
        <f>IF($E195="","",IFERROR(INDEX(PokemonRef!$C$2:$C$494,MATCH($E195,PokemonRef!$A$2:$A$494,0)),""))</f>
      </c>
      <c r="G195" s="5">
        <f>IF($E195="","",IFERROR(INDEX(PokemonRef!$B$2:$B$494,MATCH($E195,PokemonRef!$A$2:$A$494,0)),""))</f>
      </c>
      <c r="H195" s="4">
        <v>30</v>
      </c>
      <c r="I195" s="4">
        <v>24</v>
      </c>
      <c r="J195" s="4">
        <v>26</v>
      </c>
      <c r="K195" t="s">
        <v>8</v>
      </c>
      <c r="L195" t="s">
        <v>1022</v>
      </c>
      <c r="M195" t="s">
        <v>1022</v>
      </c>
      <c r="N195" s="5">
        <f>IF($E195="","",TEXTJOIN("|",TRUE,K195:M195))</f>
      </c>
      <c r="O195" t="s">
        <v>1022</v>
      </c>
    </row>
    <row r="196" spans="1:15" x14ac:dyDescent="0.25">
      <c r="A196" t="s">
        <v>1087</v>
      </c>
      <c r="B196" t="s">
        <v>1088</v>
      </c>
      <c r="C196" t="s">
        <v>6</v>
      </c>
      <c r="D196" t="s">
        <v>7</v>
      </c>
      <c r="E196" s="4">
        <v>132</v>
      </c>
      <c r="F196" s="5">
        <f>IF($E196="","",IFERROR(INDEX(PokemonRef!$C$2:$C$494,MATCH($E196,PokemonRef!$A$2:$A$494,0)),""))</f>
      </c>
      <c r="G196" s="5">
        <f>IF($E196="","",IFERROR(INDEX(PokemonRef!$B$2:$B$494,MATCH($E196,PokemonRef!$A$2:$A$494,0)),""))</f>
      </c>
      <c r="H196" s="4">
        <v>15</v>
      </c>
      <c r="I196" s="4">
        <v>23</v>
      </c>
      <c r="J196" s="4">
        <v>23</v>
      </c>
      <c r="K196" t="s">
        <v>8</v>
      </c>
      <c r="L196" t="s">
        <v>1022</v>
      </c>
      <c r="M196" t="s">
        <v>1022</v>
      </c>
      <c r="N196" s="5">
        <f>IF($E196="","",TEXTJOIN("|",TRUE,K196:M196))</f>
      </c>
      <c r="O196" t="s">
        <v>1022</v>
      </c>
    </row>
    <row r="197" spans="1:15" x14ac:dyDescent="0.25">
      <c r="A197" t="s">
        <v>1087</v>
      </c>
      <c r="B197" t="s">
        <v>1088</v>
      </c>
      <c r="C197" t="s">
        <v>6</v>
      </c>
      <c r="D197" t="s">
        <v>7</v>
      </c>
      <c r="E197" s="4">
        <v>16</v>
      </c>
      <c r="F197" s="5">
        <f>IF($E197="","",IFERROR(INDEX(PokemonRef!$C$2:$C$494,MATCH($E197,PokemonRef!$A$2:$A$494,0)),""))</f>
      </c>
      <c r="G197" s="5">
        <f>IF($E197="","",IFERROR(INDEX(PokemonRef!$B$2:$B$494,MATCH($E197,PokemonRef!$A$2:$A$494,0)),""))</f>
      </c>
      <c r="H197" s="4">
        <v>10</v>
      </c>
      <c r="I197" s="4">
        <v>27</v>
      </c>
      <c r="J197" s="4">
        <v>27</v>
      </c>
      <c r="K197" t="s">
        <v>8</v>
      </c>
      <c r="L197" t="s">
        <v>1022</v>
      </c>
      <c r="M197" t="s">
        <v>1022</v>
      </c>
      <c r="N197" s="5">
        <f>IF($E197="","",TEXTJOIN("|",TRUE,K197:M197))</f>
      </c>
      <c r="O197" t="s">
        <v>1022</v>
      </c>
    </row>
    <row r="198" spans="1:15" x14ac:dyDescent="0.25">
      <c r="A198" t="s">
        <v>1087</v>
      </c>
      <c r="B198" t="s">
        <v>1088</v>
      </c>
      <c r="C198" t="s">
        <v>6</v>
      </c>
      <c r="D198" t="s">
        <v>7</v>
      </c>
      <c r="E198" s="4">
        <v>17</v>
      </c>
      <c r="F198" s="5">
        <f>IF($E198="","",IFERROR(INDEX(PokemonRef!$C$2:$C$494,MATCH($E198,PokemonRef!$A$2:$A$494,0)),""))</f>
      </c>
      <c r="G198" s="5">
        <f>IF($E198="","",IFERROR(INDEX(PokemonRef!$B$2:$B$494,MATCH($E198,PokemonRef!$A$2:$A$494,0)),""))</f>
      </c>
      <c r="H198" s="4">
        <v>5</v>
      </c>
      <c r="I198" s="4">
        <v>29</v>
      </c>
      <c r="J198" s="4">
        <v>29</v>
      </c>
      <c r="K198" t="s">
        <v>8</v>
      </c>
      <c r="L198" t="s">
        <v>1022</v>
      </c>
      <c r="M198" t="s">
        <v>1022</v>
      </c>
      <c r="N198" s="5">
        <f>IF($E198="","",TEXTJOIN("|",TRUE,K198:M198))</f>
      </c>
      <c r="O198" t="s">
        <v>1022</v>
      </c>
    </row>
    <row r="199" spans="1:15" x14ac:dyDescent="0.25">
      <c r="A199" t="s">
        <v>1087</v>
      </c>
      <c r="B199" t="s">
        <v>1088</v>
      </c>
      <c r="C199" t="s">
        <v>6</v>
      </c>
      <c r="D199" t="s">
        <v>7</v>
      </c>
      <c r="E199" s="4">
        <v>44</v>
      </c>
      <c r="F199" s="5">
        <f>IF($E199="","",IFERROR(INDEX(PokemonRef!$C$2:$C$494,MATCH($E199,PokemonRef!$A$2:$A$494,0)),""))</f>
      </c>
      <c r="G199" s="5">
        <f>IF($E199="","",IFERROR(INDEX(PokemonRef!$B$2:$B$494,MATCH($E199,PokemonRef!$A$2:$A$494,0)),""))</f>
      </c>
      <c r="H199" s="4">
        <v>5</v>
      </c>
      <c r="I199" s="4">
        <v>30</v>
      </c>
      <c r="J199" s="4">
        <v>30</v>
      </c>
      <c r="K199" t="s">
        <v>8</v>
      </c>
      <c r="L199" t="s">
        <v>1022</v>
      </c>
      <c r="M199" t="s">
        <v>1022</v>
      </c>
      <c r="N199" s="5">
        <f>IF($E199="","",TEXTJOIN("|",TRUE,K199:M199))</f>
      </c>
      <c r="O199" t="s">
        <v>1022</v>
      </c>
    </row>
    <row r="200" spans="1:15" x14ac:dyDescent="0.25">
      <c r="A200" t="s">
        <v>1087</v>
      </c>
      <c r="B200" t="s">
        <v>1088</v>
      </c>
      <c r="C200" t="s">
        <v>6</v>
      </c>
      <c r="D200" t="s">
        <v>7</v>
      </c>
      <c r="E200" s="4">
        <v>70</v>
      </c>
      <c r="F200" s="5">
        <f>IF($E200="","",IFERROR(INDEX(PokemonRef!$C$2:$C$494,MATCH($E200,PokemonRef!$A$2:$A$494,0)),""))</f>
      </c>
      <c r="G200" s="5">
        <f>IF($E200="","",IFERROR(INDEX(PokemonRef!$B$2:$B$494,MATCH($E200,PokemonRef!$A$2:$A$494,0)),""))</f>
      </c>
      <c r="H200" s="4">
        <v>5</v>
      </c>
      <c r="I200" s="4">
        <v>30</v>
      </c>
      <c r="J200" s="4">
        <v>30</v>
      </c>
      <c r="K200" t="s">
        <v>8</v>
      </c>
      <c r="L200" t="s">
        <v>1022</v>
      </c>
      <c r="M200" t="s">
        <v>1022</v>
      </c>
      <c r="N200" s="5">
        <f>IF($E200="","",TEXTJOIN("|",TRUE,K200:M200))</f>
      </c>
      <c r="O200" t="s">
        <v>1022</v>
      </c>
    </row>
    <row r="201" spans="1:15" x14ac:dyDescent="0.25">
      <c r="A201" t="s">
        <v>1089</v>
      </c>
      <c r="B201" t="s">
        <v>1090</v>
      </c>
      <c r="C201" t="s">
        <v>6</v>
      </c>
      <c r="D201" t="s">
        <v>7</v>
      </c>
      <c r="E201" s="4">
        <v>98</v>
      </c>
      <c r="F201" s="5">
        <f>IF($E201="","",IFERROR(INDEX(PokemonRef!$C$2:$C$494,MATCH($E201,PokemonRef!$A$2:$A$494,0)),""))</f>
      </c>
      <c r="G201" s="5">
        <f>IF($E201="","",IFERROR(INDEX(PokemonRef!$B$2:$B$494,MATCH($E201,PokemonRef!$A$2:$A$494,0)),""))</f>
      </c>
      <c r="H201" s="4">
        <v>144</v>
      </c>
      <c r="I201" s="4">
        <v>5</v>
      </c>
      <c r="J201" s="4">
        <v>35</v>
      </c>
      <c r="K201" t="s">
        <v>14</v>
      </c>
      <c r="L201" t="s">
        <v>15</v>
      </c>
      <c r="M201" t="s">
        <v>1022</v>
      </c>
      <c r="N201" s="5">
        <f>IF($E201="","",TEXTJOIN("|",TRUE,K201:M201))</f>
      </c>
      <c r="O201" t="s">
        <v>1022</v>
      </c>
    </row>
    <row r="202" spans="1:15" x14ac:dyDescent="0.25">
      <c r="A202" t="s">
        <v>1089</v>
      </c>
      <c r="B202" t="s">
        <v>1090</v>
      </c>
      <c r="C202" t="s">
        <v>6</v>
      </c>
      <c r="D202" t="s">
        <v>7</v>
      </c>
      <c r="E202" s="4">
        <v>116</v>
      </c>
      <c r="F202" s="5">
        <f>IF($E202="","",IFERROR(INDEX(PokemonRef!$C$2:$C$494,MATCH($E202,PokemonRef!$A$2:$A$494,0)),""))</f>
      </c>
      <c r="G202" s="5">
        <f>IF($E202="","",IFERROR(INDEX(PokemonRef!$B$2:$B$494,MATCH($E202,PokemonRef!$A$2:$A$494,0)),""))</f>
      </c>
      <c r="H202" s="4">
        <v>144</v>
      </c>
      <c r="I202" s="4">
        <v>5</v>
      </c>
      <c r="J202" s="4">
        <v>35</v>
      </c>
      <c r="K202" t="s">
        <v>14</v>
      </c>
      <c r="L202" t="s">
        <v>15</v>
      </c>
      <c r="M202" t="s">
        <v>1022</v>
      </c>
      <c r="N202" s="5">
        <f>IF($E202="","",TEXTJOIN("|",TRUE,K202:M202))</f>
      </c>
      <c r="O202" t="s">
        <v>1022</v>
      </c>
    </row>
    <row r="203" spans="1:15" x14ac:dyDescent="0.25">
      <c r="A203" t="s">
        <v>1089</v>
      </c>
      <c r="B203" t="s">
        <v>1090</v>
      </c>
      <c r="C203" t="s">
        <v>6</v>
      </c>
      <c r="D203" t="s">
        <v>7</v>
      </c>
      <c r="E203" s="4">
        <v>129</v>
      </c>
      <c r="F203" s="5">
        <f>IF($E203="","",IFERROR(INDEX(PokemonRef!$C$2:$C$494,MATCH($E203,PokemonRef!$A$2:$A$494,0)),""))</f>
      </c>
      <c r="G203" s="5">
        <f>IF($E203="","",IFERROR(INDEX(PokemonRef!$B$2:$B$494,MATCH($E203,PokemonRef!$A$2:$A$494,0)),""))</f>
      </c>
      <c r="H203" s="4">
        <v>120</v>
      </c>
      <c r="I203" s="4">
        <v>5</v>
      </c>
      <c r="J203" s="4">
        <v>15</v>
      </c>
      <c r="K203" t="s">
        <v>14</v>
      </c>
      <c r="L203" t="s">
        <v>13</v>
      </c>
      <c r="M203" t="s">
        <v>1022</v>
      </c>
      <c r="N203" s="5">
        <f>IF($E203="","",TEXTJOIN("|",TRUE,K203:M203))</f>
      </c>
      <c r="O203" t="s">
        <v>1022</v>
      </c>
    </row>
    <row r="204" spans="1:15" x14ac:dyDescent="0.25">
      <c r="A204" t="s">
        <v>1089</v>
      </c>
      <c r="B204" t="s">
        <v>1090</v>
      </c>
      <c r="C204" t="s">
        <v>6</v>
      </c>
      <c r="D204" t="s">
        <v>7</v>
      </c>
      <c r="E204" s="4">
        <v>72</v>
      </c>
      <c r="F204" s="5">
        <f>IF($E204="","",IFERROR(INDEX(PokemonRef!$C$2:$C$494,MATCH($E204,PokemonRef!$A$2:$A$494,0)),""))</f>
      </c>
      <c r="G204" s="5">
        <f>IF($E204="","",IFERROR(INDEX(PokemonRef!$B$2:$B$494,MATCH($E204,PokemonRef!$A$2:$A$494,0)),""))</f>
      </c>
      <c r="H204" s="4">
        <v>100</v>
      </c>
      <c r="I204" s="4">
        <v>5</v>
      </c>
      <c r="J204" s="4">
        <v>40</v>
      </c>
      <c r="K204" t="s">
        <v>11</v>
      </c>
      <c r="L204" t="s">
        <v>1022</v>
      </c>
      <c r="M204" t="s">
        <v>1022</v>
      </c>
      <c r="N204" s="5">
        <f>IF($E204="","",TEXTJOIN("|",TRUE,K204:M204))</f>
      </c>
      <c r="O204" t="s">
        <v>1022</v>
      </c>
    </row>
    <row r="205" spans="1:15" x14ac:dyDescent="0.25">
      <c r="A205" t="s">
        <v>1089</v>
      </c>
      <c r="B205" t="s">
        <v>1090</v>
      </c>
      <c r="C205" t="s">
        <v>6</v>
      </c>
      <c r="D205" t="s">
        <v>7</v>
      </c>
      <c r="E205" s="4">
        <v>43</v>
      </c>
      <c r="F205" s="5">
        <f>IF($E205="","",IFERROR(INDEX(PokemonRef!$C$2:$C$494,MATCH($E205,PokemonRef!$A$2:$A$494,0)),""))</f>
      </c>
      <c r="G205" s="5">
        <f>IF($E205="","",IFERROR(INDEX(PokemonRef!$B$2:$B$494,MATCH($E205,PokemonRef!$A$2:$A$494,0)),""))</f>
      </c>
      <c r="H205" s="4">
        <v>35</v>
      </c>
      <c r="I205" s="4">
        <v>22</v>
      </c>
      <c r="J205" s="4">
        <v>26</v>
      </c>
      <c r="K205" t="s">
        <v>8</v>
      </c>
      <c r="L205" t="s">
        <v>1022</v>
      </c>
      <c r="M205" t="s">
        <v>1022</v>
      </c>
      <c r="N205" s="5">
        <f>IF($E205="","",TEXTJOIN("|",TRUE,K205:M205))</f>
      </c>
      <c r="O205" t="s">
        <v>1022</v>
      </c>
    </row>
    <row r="206" spans="1:15" x14ac:dyDescent="0.25">
      <c r="A206" t="s">
        <v>1089</v>
      </c>
      <c r="B206" t="s">
        <v>1090</v>
      </c>
      <c r="C206" t="s">
        <v>6</v>
      </c>
      <c r="D206" t="s">
        <v>7</v>
      </c>
      <c r="E206" s="4">
        <v>69</v>
      </c>
      <c r="F206" s="5">
        <f>IF($E206="","",IFERROR(INDEX(PokemonRef!$C$2:$C$494,MATCH($E206,PokemonRef!$A$2:$A$494,0)),""))</f>
      </c>
      <c r="G206" s="5">
        <f>IF($E206="","",IFERROR(INDEX(PokemonRef!$B$2:$B$494,MATCH($E206,PokemonRef!$A$2:$A$494,0)),""))</f>
      </c>
      <c r="H206" s="4">
        <v>35</v>
      </c>
      <c r="I206" s="4">
        <v>22</v>
      </c>
      <c r="J206" s="4">
        <v>26</v>
      </c>
      <c r="K206" t="s">
        <v>8</v>
      </c>
      <c r="L206" t="s">
        <v>1022</v>
      </c>
      <c r="M206" t="s">
        <v>1022</v>
      </c>
      <c r="N206" s="5">
        <f>IF($E206="","",TEXTJOIN("|",TRUE,K206:M206))</f>
      </c>
      <c r="O206" t="s">
        <v>1022</v>
      </c>
    </row>
    <row r="207" spans="1:15" x14ac:dyDescent="0.25">
      <c r="A207" t="s">
        <v>1089</v>
      </c>
      <c r="B207" t="s">
        <v>1090</v>
      </c>
      <c r="C207" t="s">
        <v>6</v>
      </c>
      <c r="D207" t="s">
        <v>7</v>
      </c>
      <c r="E207" s="4">
        <v>48</v>
      </c>
      <c r="F207" s="5">
        <f>IF($E207="","",IFERROR(INDEX(PokemonRef!$C$2:$C$494,MATCH($E207,PokemonRef!$A$2:$A$494,0)),""))</f>
      </c>
      <c r="G207" s="5">
        <f>IF($E207="","",IFERROR(INDEX(PokemonRef!$B$2:$B$494,MATCH($E207,PokemonRef!$A$2:$A$494,0)),""))</f>
      </c>
      <c r="H207" s="4">
        <v>30</v>
      </c>
      <c r="I207" s="4">
        <v>24</v>
      </c>
      <c r="J207" s="4">
        <v>26</v>
      </c>
      <c r="K207" t="s">
        <v>8</v>
      </c>
      <c r="L207" t="s">
        <v>1022</v>
      </c>
      <c r="M207" t="s">
        <v>1022</v>
      </c>
      <c r="N207" s="5">
        <f>IF($E207="","",TEXTJOIN("|",TRUE,K207:M207))</f>
      </c>
      <c r="O207" t="s">
        <v>1022</v>
      </c>
    </row>
    <row r="208" spans="1:15" x14ac:dyDescent="0.25">
      <c r="A208" t="s">
        <v>1089</v>
      </c>
      <c r="B208" t="s">
        <v>1090</v>
      </c>
      <c r="C208" t="s">
        <v>6</v>
      </c>
      <c r="D208" t="s">
        <v>7</v>
      </c>
      <c r="E208" s="4">
        <v>16</v>
      </c>
      <c r="F208" s="5">
        <f>IF($E208="","",IFERROR(INDEX(PokemonRef!$C$2:$C$494,MATCH($E208,PokemonRef!$A$2:$A$494,0)),""))</f>
      </c>
      <c r="G208" s="5">
        <f>IF($E208="","",IFERROR(INDEX(PokemonRef!$B$2:$B$494,MATCH($E208,PokemonRef!$A$2:$A$494,0)),""))</f>
      </c>
      <c r="H208" s="4">
        <v>20</v>
      </c>
      <c r="I208" s="4">
        <v>25</v>
      </c>
      <c r="J208" s="4">
        <v>27</v>
      </c>
      <c r="K208" t="s">
        <v>8</v>
      </c>
      <c r="L208" t="s">
        <v>1022</v>
      </c>
      <c r="M208" t="s">
        <v>1022</v>
      </c>
      <c r="N208" s="5">
        <f>IF($E208="","",TEXTJOIN("|",TRUE,K208:M208))</f>
      </c>
      <c r="O208" t="s">
        <v>1022</v>
      </c>
    </row>
    <row r="209" spans="1:15" x14ac:dyDescent="0.25">
      <c r="A209" t="s">
        <v>1089</v>
      </c>
      <c r="B209" t="s">
        <v>1090</v>
      </c>
      <c r="C209" t="s">
        <v>6</v>
      </c>
      <c r="D209" t="s">
        <v>7</v>
      </c>
      <c r="E209" s="4">
        <v>130</v>
      </c>
      <c r="F209" s="5">
        <f>IF($E209="","",IFERROR(INDEX(PokemonRef!$C$2:$C$494,MATCH($E209,PokemonRef!$A$2:$A$494,0)),""))</f>
      </c>
      <c r="G209" s="5">
        <f>IF($E209="","",IFERROR(INDEX(PokemonRef!$B$2:$B$494,MATCH($E209,PokemonRef!$A$2:$A$494,0)),""))</f>
      </c>
      <c r="H209" s="4">
        <v>15</v>
      </c>
      <c r="I209" s="4">
        <v>15</v>
      </c>
      <c r="J209" s="4">
        <v>25</v>
      </c>
      <c r="K209" t="s">
        <v>15</v>
      </c>
      <c r="L209" t="s">
        <v>1022</v>
      </c>
      <c r="M209" t="s">
        <v>1022</v>
      </c>
      <c r="N209" s="5">
        <f>IF($E209="","",TEXTJOIN("|",TRUE,K209:M209))</f>
      </c>
      <c r="O209" t="s">
        <v>1022</v>
      </c>
    </row>
    <row r="210" spans="1:15" x14ac:dyDescent="0.25">
      <c r="A210" t="s">
        <v>1089</v>
      </c>
      <c r="B210" t="s">
        <v>1090</v>
      </c>
      <c r="C210" t="s">
        <v>6</v>
      </c>
      <c r="D210" t="s">
        <v>7</v>
      </c>
      <c r="E210" s="4">
        <v>17</v>
      </c>
      <c r="F210" s="5">
        <f>IF($E210="","",IFERROR(INDEX(PokemonRef!$C$2:$C$494,MATCH($E210,PokemonRef!$A$2:$A$494,0)),""))</f>
      </c>
      <c r="G210" s="5">
        <f>IF($E210="","",IFERROR(INDEX(PokemonRef!$B$2:$B$494,MATCH($E210,PokemonRef!$A$2:$A$494,0)),""))</f>
      </c>
      <c r="H210" s="4">
        <v>5</v>
      </c>
      <c r="I210" s="4">
        <v>29</v>
      </c>
      <c r="J210" s="4">
        <v>29</v>
      </c>
      <c r="K210" t="s">
        <v>8</v>
      </c>
      <c r="L210" t="s">
        <v>1022</v>
      </c>
      <c r="M210" t="s">
        <v>1022</v>
      </c>
      <c r="N210" s="5">
        <f>IF($E210="","",TEXTJOIN("|",TRUE,K210:M210))</f>
      </c>
      <c r="O210" t="s">
        <v>1022</v>
      </c>
    </row>
    <row r="211" spans="1:15" x14ac:dyDescent="0.25">
      <c r="A211" t="s">
        <v>1089</v>
      </c>
      <c r="B211" t="s">
        <v>1090</v>
      </c>
      <c r="C211" t="s">
        <v>6</v>
      </c>
      <c r="D211" t="s">
        <v>7</v>
      </c>
      <c r="E211" s="4">
        <v>44</v>
      </c>
      <c r="F211" s="5">
        <f>IF($E211="","",IFERROR(INDEX(PokemonRef!$C$2:$C$494,MATCH($E211,PokemonRef!$A$2:$A$494,0)),""))</f>
      </c>
      <c r="G211" s="5">
        <f>IF($E211="","",IFERROR(INDEX(PokemonRef!$B$2:$B$494,MATCH($E211,PokemonRef!$A$2:$A$494,0)),""))</f>
      </c>
      <c r="H211" s="4">
        <v>5</v>
      </c>
      <c r="I211" s="4">
        <v>28</v>
      </c>
      <c r="J211" s="4">
        <v>30</v>
      </c>
      <c r="K211" t="s">
        <v>8</v>
      </c>
      <c r="L211" t="s">
        <v>1022</v>
      </c>
      <c r="M211" t="s">
        <v>1022</v>
      </c>
      <c r="N211" s="5">
        <f>IF($E211="","",TEXTJOIN("|",TRUE,K211:M211))</f>
      </c>
      <c r="O211" t="s">
        <v>1022</v>
      </c>
    </row>
    <row r="212" spans="1:15" x14ac:dyDescent="0.25">
      <c r="A212" t="s">
        <v>1089</v>
      </c>
      <c r="B212" t="s">
        <v>1090</v>
      </c>
      <c r="C212" t="s">
        <v>6</v>
      </c>
      <c r="D212" t="s">
        <v>7</v>
      </c>
      <c r="E212" s="4">
        <v>70</v>
      </c>
      <c r="F212" s="5">
        <f>IF($E212="","",IFERROR(INDEX(PokemonRef!$C$2:$C$494,MATCH($E212,PokemonRef!$A$2:$A$494,0)),""))</f>
      </c>
      <c r="G212" s="5">
        <f>IF($E212="","",IFERROR(INDEX(PokemonRef!$B$2:$B$494,MATCH($E212,PokemonRef!$A$2:$A$494,0)),""))</f>
      </c>
      <c r="H212" s="4">
        <v>5</v>
      </c>
      <c r="I212" s="4">
        <v>28</v>
      </c>
      <c r="J212" s="4">
        <v>30</v>
      </c>
      <c r="K212" t="s">
        <v>8</v>
      </c>
      <c r="L212" t="s">
        <v>1022</v>
      </c>
      <c r="M212" t="s">
        <v>1022</v>
      </c>
      <c r="N212" s="5">
        <f>IF($E212="","",TEXTJOIN("|",TRUE,K212:M212))</f>
      </c>
      <c r="O212" t="s">
        <v>1022</v>
      </c>
    </row>
    <row r="213" spans="1:15" x14ac:dyDescent="0.25">
      <c r="A213" t="s">
        <v>1089</v>
      </c>
      <c r="B213" t="s">
        <v>1090</v>
      </c>
      <c r="C213" t="s">
        <v>6</v>
      </c>
      <c r="D213" t="s">
        <v>7</v>
      </c>
      <c r="E213" s="4">
        <v>132</v>
      </c>
      <c r="F213" s="5">
        <f>IF($E213="","",IFERROR(INDEX(PokemonRef!$C$2:$C$494,MATCH($E213,PokemonRef!$A$2:$A$494,0)),""))</f>
      </c>
      <c r="G213" s="5">
        <f>IF($E213="","",IFERROR(INDEX(PokemonRef!$B$2:$B$494,MATCH($E213,PokemonRef!$A$2:$A$494,0)),""))</f>
      </c>
      <c r="H213" s="4">
        <v>5</v>
      </c>
      <c r="I213" s="4">
        <v>25</v>
      </c>
      <c r="J213" s="4">
        <v>25</v>
      </c>
      <c r="K213" t="s">
        <v>8</v>
      </c>
      <c r="L213" t="s">
        <v>1022</v>
      </c>
      <c r="M213" t="s">
        <v>1022</v>
      </c>
      <c r="N213" s="5">
        <f>IF($E213="","",TEXTJOIN("|",TRUE,K213:M213))</f>
      </c>
      <c r="O213" t="s">
        <v>1022</v>
      </c>
    </row>
    <row r="214" spans="1:15" x14ac:dyDescent="0.25">
      <c r="A214" t="s">
        <v>1089</v>
      </c>
      <c r="B214" t="s">
        <v>1090</v>
      </c>
      <c r="C214" t="s">
        <v>6</v>
      </c>
      <c r="D214" t="s">
        <v>7</v>
      </c>
      <c r="E214" s="4">
        <v>54</v>
      </c>
      <c r="F214" s="5">
        <f>IF($E214="","",IFERROR(INDEX(PokemonRef!$C$2:$C$494,MATCH($E214,PokemonRef!$A$2:$A$494,0)),""))</f>
      </c>
      <c r="G214" s="5">
        <f>IF($E214="","",IFERROR(INDEX(PokemonRef!$B$2:$B$494,MATCH($E214,PokemonRef!$A$2:$A$494,0)),""))</f>
      </c>
      <c r="H214" s="4">
        <v>1</v>
      </c>
      <c r="I214" s="4">
        <v>25</v>
      </c>
      <c r="J214" s="4">
        <v>35</v>
      </c>
      <c r="K214" t="s">
        <v>15</v>
      </c>
      <c r="L214" t="s">
        <v>1022</v>
      </c>
      <c r="M214" t="s">
        <v>1022</v>
      </c>
      <c r="N214" s="5">
        <f>IF($E214="","",TEXTJOIN("|",TRUE,K214:M214))</f>
      </c>
      <c r="O214" t="s">
        <v>1022</v>
      </c>
    </row>
    <row r="215" spans="1:15" x14ac:dyDescent="0.25">
      <c r="A215" t="s">
        <v>1089</v>
      </c>
      <c r="B215" t="s">
        <v>1090</v>
      </c>
      <c r="C215" t="s">
        <v>6</v>
      </c>
      <c r="D215" t="s">
        <v>7</v>
      </c>
      <c r="E215" s="4">
        <v>79</v>
      </c>
      <c r="F215" s="5">
        <f>IF($E215="","",IFERROR(INDEX(PokemonRef!$C$2:$C$494,MATCH($E215,PokemonRef!$A$2:$A$494,0)),""))</f>
      </c>
      <c r="G215" s="5">
        <f>IF($E215="","",IFERROR(INDEX(PokemonRef!$B$2:$B$494,MATCH($E215,PokemonRef!$A$2:$A$494,0)),""))</f>
      </c>
      <c r="H215" s="4">
        <v>1</v>
      </c>
      <c r="I215" s="4">
        <v>25</v>
      </c>
      <c r="J215" s="4">
        <v>35</v>
      </c>
      <c r="K215" t="s">
        <v>15</v>
      </c>
      <c r="L215" t="s">
        <v>1022</v>
      </c>
      <c r="M215" t="s">
        <v>1022</v>
      </c>
      <c r="N215" s="5">
        <f>IF($E215="","",TEXTJOIN("|",TRUE,K215:M215))</f>
      </c>
      <c r="O215" t="s">
        <v>1022</v>
      </c>
    </row>
    <row r="216" spans="1:15" x14ac:dyDescent="0.25">
      <c r="A216" t="s">
        <v>1091</v>
      </c>
      <c r="B216" t="s">
        <v>1092</v>
      </c>
      <c r="C216" t="s">
        <v>6</v>
      </c>
      <c r="D216" t="s">
        <v>7</v>
      </c>
      <c r="E216" s="4">
        <v>98</v>
      </c>
      <c r="F216" s="5">
        <f>IF($E216="","",IFERROR(INDEX(PokemonRef!$C$2:$C$494,MATCH($E216,PokemonRef!$A$2:$A$494,0)),""))</f>
      </c>
      <c r="G216" s="5">
        <f>IF($E216="","",IFERROR(INDEX(PokemonRef!$B$2:$B$494,MATCH($E216,PokemonRef!$A$2:$A$494,0)),""))</f>
      </c>
      <c r="H216" s="4">
        <v>144</v>
      </c>
      <c r="I216" s="4">
        <v>5</v>
      </c>
      <c r="J216" s="4">
        <v>35</v>
      </c>
      <c r="K216" t="s">
        <v>14</v>
      </c>
      <c r="L216" t="s">
        <v>15</v>
      </c>
      <c r="M216" t="s">
        <v>1022</v>
      </c>
      <c r="N216" s="5">
        <f>IF($E216="","",TEXTJOIN("|",TRUE,K216:M216))</f>
      </c>
      <c r="O216" t="s">
        <v>1022</v>
      </c>
    </row>
    <row r="217" spans="1:15" x14ac:dyDescent="0.25">
      <c r="A217" t="s">
        <v>1091</v>
      </c>
      <c r="B217" t="s">
        <v>1092</v>
      </c>
      <c r="C217" t="s">
        <v>6</v>
      </c>
      <c r="D217" t="s">
        <v>7</v>
      </c>
      <c r="E217" s="4">
        <v>116</v>
      </c>
      <c r="F217" s="5">
        <f>IF($E217="","",IFERROR(INDEX(PokemonRef!$C$2:$C$494,MATCH($E217,PokemonRef!$A$2:$A$494,0)),""))</f>
      </c>
      <c r="G217" s="5">
        <f>IF($E217="","",IFERROR(INDEX(PokemonRef!$B$2:$B$494,MATCH($E217,PokemonRef!$A$2:$A$494,0)),""))</f>
      </c>
      <c r="H217" s="4">
        <v>144</v>
      </c>
      <c r="I217" s="4">
        <v>5</v>
      </c>
      <c r="J217" s="4">
        <v>35</v>
      </c>
      <c r="K217" t="s">
        <v>14</v>
      </c>
      <c r="L217" t="s">
        <v>15</v>
      </c>
      <c r="M217" t="s">
        <v>1022</v>
      </c>
      <c r="N217" s="5">
        <f>IF($E217="","",TEXTJOIN("|",TRUE,K217:M217))</f>
      </c>
      <c r="O217" t="s">
        <v>1022</v>
      </c>
    </row>
    <row r="218" spans="1:15" x14ac:dyDescent="0.25">
      <c r="A218" t="s">
        <v>1091</v>
      </c>
      <c r="B218" t="s">
        <v>1092</v>
      </c>
      <c r="C218" t="s">
        <v>6</v>
      </c>
      <c r="D218" t="s">
        <v>7</v>
      </c>
      <c r="E218" s="4">
        <v>129</v>
      </c>
      <c r="F218" s="5">
        <f>IF($E218="","",IFERROR(INDEX(PokemonRef!$C$2:$C$494,MATCH($E218,PokemonRef!$A$2:$A$494,0)),""))</f>
      </c>
      <c r="G218" s="5">
        <f>IF($E218="","",IFERROR(INDEX(PokemonRef!$B$2:$B$494,MATCH($E218,PokemonRef!$A$2:$A$494,0)),""))</f>
      </c>
      <c r="H218" s="4">
        <v>120</v>
      </c>
      <c r="I218" s="4">
        <v>5</v>
      </c>
      <c r="J218" s="4">
        <v>15</v>
      </c>
      <c r="K218" t="s">
        <v>14</v>
      </c>
      <c r="L218" t="s">
        <v>13</v>
      </c>
      <c r="M218" t="s">
        <v>1022</v>
      </c>
      <c r="N218" s="5">
        <f>IF($E218="","",TEXTJOIN("|",TRUE,K218:M218))</f>
      </c>
      <c r="O218" t="s">
        <v>1022</v>
      </c>
    </row>
    <row r="219" spans="1:15" x14ac:dyDescent="0.25">
      <c r="A219" t="s">
        <v>1091</v>
      </c>
      <c r="B219" t="s">
        <v>1092</v>
      </c>
      <c r="C219" t="s">
        <v>6</v>
      </c>
      <c r="D219" t="s">
        <v>7</v>
      </c>
      <c r="E219" s="4">
        <v>72</v>
      </c>
      <c r="F219" s="5">
        <f>IF($E219="","",IFERROR(INDEX(PokemonRef!$C$2:$C$494,MATCH($E219,PokemonRef!$A$2:$A$494,0)),""))</f>
      </c>
      <c r="G219" s="5">
        <f>IF($E219="","",IFERROR(INDEX(PokemonRef!$B$2:$B$494,MATCH($E219,PokemonRef!$A$2:$A$494,0)),""))</f>
      </c>
      <c r="H219" s="4">
        <v>100</v>
      </c>
      <c r="I219" s="4">
        <v>5</v>
      </c>
      <c r="J219" s="4">
        <v>40</v>
      </c>
      <c r="K219" t="s">
        <v>11</v>
      </c>
      <c r="L219" t="s">
        <v>1022</v>
      </c>
      <c r="M219" t="s">
        <v>1022</v>
      </c>
      <c r="N219" s="5">
        <f>IF($E219="","",TEXTJOIN("|",TRUE,K219:M219))</f>
      </c>
      <c r="O219" t="s">
        <v>1022</v>
      </c>
    </row>
    <row r="220" spans="1:15" x14ac:dyDescent="0.25">
      <c r="A220" t="s">
        <v>1091</v>
      </c>
      <c r="B220" t="s">
        <v>1092</v>
      </c>
      <c r="C220" t="s">
        <v>6</v>
      </c>
      <c r="D220" t="s">
        <v>7</v>
      </c>
      <c r="E220" s="4">
        <v>143</v>
      </c>
      <c r="F220" s="5">
        <f>IF($E220="","",IFERROR(INDEX(PokemonRef!$C$2:$C$494,MATCH($E220,PokemonRef!$A$2:$A$494,0)),""))</f>
      </c>
      <c r="G220" s="5">
        <f>IF($E220="","",IFERROR(INDEX(PokemonRef!$B$2:$B$494,MATCH($E220,PokemonRef!$A$2:$A$494,0)),""))</f>
      </c>
      <c r="H220" s="4">
        <v>100</v>
      </c>
      <c r="I220" s="4">
        <v>30</v>
      </c>
      <c r="J220" s="4">
        <v>30</v>
      </c>
      <c r="K220" t="s">
        <v>18</v>
      </c>
      <c r="L220" t="s">
        <v>1022</v>
      </c>
      <c r="M220" t="s">
        <v>1022</v>
      </c>
      <c r="N220" s="5">
        <f>IF($E220="","",TEXTJOIN("|",TRUE,K220:M220))</f>
      </c>
      <c r="O220" t="s">
        <v>1022</v>
      </c>
    </row>
    <row r="221" spans="1:15" x14ac:dyDescent="0.25">
      <c r="A221" t="s">
        <v>1091</v>
      </c>
      <c r="B221" t="s">
        <v>1092</v>
      </c>
      <c r="C221" t="s">
        <v>6</v>
      </c>
      <c r="D221" t="s">
        <v>7</v>
      </c>
      <c r="E221" s="4">
        <v>43</v>
      </c>
      <c r="F221" s="5">
        <f>IF($E221="","",IFERROR(INDEX(PokemonRef!$C$2:$C$494,MATCH($E221,PokemonRef!$A$2:$A$494,0)),""))</f>
      </c>
      <c r="G221" s="5">
        <f>IF($E221="","",IFERROR(INDEX(PokemonRef!$B$2:$B$494,MATCH($E221,PokemonRef!$A$2:$A$494,0)),""))</f>
      </c>
      <c r="H221" s="4">
        <v>35</v>
      </c>
      <c r="I221" s="4">
        <v>22</v>
      </c>
      <c r="J221" s="4">
        <v>26</v>
      </c>
      <c r="K221" t="s">
        <v>8</v>
      </c>
      <c r="L221" t="s">
        <v>1022</v>
      </c>
      <c r="M221" t="s">
        <v>1022</v>
      </c>
      <c r="N221" s="5">
        <f>IF($E221="","",TEXTJOIN("|",TRUE,K221:M221))</f>
      </c>
      <c r="O221" t="s">
        <v>1022</v>
      </c>
    </row>
    <row r="222" spans="1:15" x14ac:dyDescent="0.25">
      <c r="A222" t="s">
        <v>1091</v>
      </c>
      <c r="B222" t="s">
        <v>1092</v>
      </c>
      <c r="C222" t="s">
        <v>6</v>
      </c>
      <c r="D222" t="s">
        <v>7</v>
      </c>
      <c r="E222" s="4">
        <v>69</v>
      </c>
      <c r="F222" s="5">
        <f>IF($E222="","",IFERROR(INDEX(PokemonRef!$C$2:$C$494,MATCH($E222,PokemonRef!$A$2:$A$494,0)),""))</f>
      </c>
      <c r="G222" s="5">
        <f>IF($E222="","",IFERROR(INDEX(PokemonRef!$B$2:$B$494,MATCH($E222,PokemonRef!$A$2:$A$494,0)),""))</f>
      </c>
      <c r="H222" s="4">
        <v>35</v>
      </c>
      <c r="I222" s="4">
        <v>22</v>
      </c>
      <c r="J222" s="4">
        <v>26</v>
      </c>
      <c r="K222" t="s">
        <v>8</v>
      </c>
      <c r="L222" t="s">
        <v>1022</v>
      </c>
      <c r="M222" t="s">
        <v>1022</v>
      </c>
      <c r="N222" s="5">
        <f>IF($E222="","",TEXTJOIN("|",TRUE,K222:M222))</f>
      </c>
      <c r="O222" t="s">
        <v>1022</v>
      </c>
    </row>
    <row r="223" spans="1:15" x14ac:dyDescent="0.25">
      <c r="A223" t="s">
        <v>1091</v>
      </c>
      <c r="B223" t="s">
        <v>1092</v>
      </c>
      <c r="C223" t="s">
        <v>6</v>
      </c>
      <c r="D223" t="s">
        <v>7</v>
      </c>
      <c r="E223" s="4">
        <v>16</v>
      </c>
      <c r="F223" s="5">
        <f>IF($E223="","",IFERROR(INDEX(PokemonRef!$C$2:$C$494,MATCH($E223,PokemonRef!$A$2:$A$494,0)),""))</f>
      </c>
      <c r="G223" s="5">
        <f>IF($E223="","",IFERROR(INDEX(PokemonRef!$B$2:$B$494,MATCH($E223,PokemonRef!$A$2:$A$494,0)),""))</f>
      </c>
      <c r="H223" s="4">
        <v>30</v>
      </c>
      <c r="I223" s="4">
        <v>23</v>
      </c>
      <c r="J223" s="4">
        <v>27</v>
      </c>
      <c r="K223" t="s">
        <v>8</v>
      </c>
      <c r="L223" t="s">
        <v>1022</v>
      </c>
      <c r="M223" t="s">
        <v>1022</v>
      </c>
      <c r="N223" s="5">
        <f>IF($E223="","",TEXTJOIN("|",TRUE,K223:M223))</f>
      </c>
      <c r="O223" t="s">
        <v>1022</v>
      </c>
    </row>
    <row r="224" spans="1:15" x14ac:dyDescent="0.25">
      <c r="A224" t="s">
        <v>1091</v>
      </c>
      <c r="B224" t="s">
        <v>1092</v>
      </c>
      <c r="C224" t="s">
        <v>6</v>
      </c>
      <c r="D224" t="s">
        <v>7</v>
      </c>
      <c r="E224" s="4">
        <v>48</v>
      </c>
      <c r="F224" s="5">
        <f>IF($E224="","",IFERROR(INDEX(PokemonRef!$C$2:$C$494,MATCH($E224,PokemonRef!$A$2:$A$494,0)),""))</f>
      </c>
      <c r="G224" s="5">
        <f>IF($E224="","",IFERROR(INDEX(PokemonRef!$B$2:$B$494,MATCH($E224,PokemonRef!$A$2:$A$494,0)),""))</f>
      </c>
      <c r="H224" s="4">
        <v>30</v>
      </c>
      <c r="I224" s="4">
        <v>24</v>
      </c>
      <c r="J224" s="4">
        <v>26</v>
      </c>
      <c r="K224" t="s">
        <v>8</v>
      </c>
      <c r="L224" t="s">
        <v>1022</v>
      </c>
      <c r="M224" t="s">
        <v>1022</v>
      </c>
      <c r="N224" s="5">
        <f>IF($E224="","",TEXTJOIN("|",TRUE,K224:M224))</f>
      </c>
      <c r="O224" t="s">
        <v>1022</v>
      </c>
    </row>
    <row r="225" spans="1:15" x14ac:dyDescent="0.25">
      <c r="A225" t="s">
        <v>1091</v>
      </c>
      <c r="B225" t="s">
        <v>1092</v>
      </c>
      <c r="C225" t="s">
        <v>6</v>
      </c>
      <c r="D225" t="s">
        <v>7</v>
      </c>
      <c r="E225" s="4">
        <v>130</v>
      </c>
      <c r="F225" s="5">
        <f>IF($E225="","",IFERROR(INDEX(PokemonRef!$C$2:$C$494,MATCH($E225,PokemonRef!$A$2:$A$494,0)),""))</f>
      </c>
      <c r="G225" s="5">
        <f>IF($E225="","",IFERROR(INDEX(PokemonRef!$B$2:$B$494,MATCH($E225,PokemonRef!$A$2:$A$494,0)),""))</f>
      </c>
      <c r="H225" s="4">
        <v>15</v>
      </c>
      <c r="I225" s="4">
        <v>15</v>
      </c>
      <c r="J225" s="4">
        <v>25</v>
      </c>
      <c r="K225" t="s">
        <v>15</v>
      </c>
      <c r="L225" t="s">
        <v>1022</v>
      </c>
      <c r="M225" t="s">
        <v>1022</v>
      </c>
      <c r="N225" s="5">
        <f>IF($E225="","",TEXTJOIN("|",TRUE,K225:M225))</f>
      </c>
      <c r="O225" t="s">
        <v>1022</v>
      </c>
    </row>
    <row r="226" spans="1:15" x14ac:dyDescent="0.25">
      <c r="A226" t="s">
        <v>1091</v>
      </c>
      <c r="B226" t="s">
        <v>1092</v>
      </c>
      <c r="C226" t="s">
        <v>6</v>
      </c>
      <c r="D226" t="s">
        <v>7</v>
      </c>
      <c r="E226" s="4">
        <v>44</v>
      </c>
      <c r="F226" s="5">
        <f>IF($E226="","",IFERROR(INDEX(PokemonRef!$C$2:$C$494,MATCH($E226,PokemonRef!$A$2:$A$494,0)),""))</f>
      </c>
      <c r="G226" s="5">
        <f>IF($E226="","",IFERROR(INDEX(PokemonRef!$B$2:$B$494,MATCH($E226,PokemonRef!$A$2:$A$494,0)),""))</f>
      </c>
      <c r="H226" s="4">
        <v>5</v>
      </c>
      <c r="I226" s="4">
        <v>28</v>
      </c>
      <c r="J226" s="4">
        <v>30</v>
      </c>
      <c r="K226" t="s">
        <v>8</v>
      </c>
      <c r="L226" t="s">
        <v>1022</v>
      </c>
      <c r="M226" t="s">
        <v>1022</v>
      </c>
      <c r="N226" s="5">
        <f>IF($E226="","",TEXTJOIN("|",TRUE,K226:M226))</f>
      </c>
      <c r="O226" t="s">
        <v>1022</v>
      </c>
    </row>
    <row r="227" spans="1:15" x14ac:dyDescent="0.25">
      <c r="A227" t="s">
        <v>1091</v>
      </c>
      <c r="B227" t="s">
        <v>1092</v>
      </c>
      <c r="C227" t="s">
        <v>6</v>
      </c>
      <c r="D227" t="s">
        <v>7</v>
      </c>
      <c r="E227" s="4">
        <v>70</v>
      </c>
      <c r="F227" s="5">
        <f>IF($E227="","",IFERROR(INDEX(PokemonRef!$C$2:$C$494,MATCH($E227,PokemonRef!$A$2:$A$494,0)),""))</f>
      </c>
      <c r="G227" s="5">
        <f>IF($E227="","",IFERROR(INDEX(PokemonRef!$B$2:$B$494,MATCH($E227,PokemonRef!$A$2:$A$494,0)),""))</f>
      </c>
      <c r="H227" s="4">
        <v>5</v>
      </c>
      <c r="I227" s="4">
        <v>28</v>
      </c>
      <c r="J227" s="4">
        <v>30</v>
      </c>
      <c r="K227" t="s">
        <v>8</v>
      </c>
      <c r="L227" t="s">
        <v>1022</v>
      </c>
      <c r="M227" t="s">
        <v>1022</v>
      </c>
      <c r="N227" s="5">
        <f>IF($E227="","",TEXTJOIN("|",TRUE,K227:M227))</f>
      </c>
      <c r="O227" t="s">
        <v>1022</v>
      </c>
    </row>
    <row r="228" spans="1:15" x14ac:dyDescent="0.25">
      <c r="A228" t="s">
        <v>1091</v>
      </c>
      <c r="B228" t="s">
        <v>1092</v>
      </c>
      <c r="C228" t="s">
        <v>6</v>
      </c>
      <c r="D228" t="s">
        <v>7</v>
      </c>
      <c r="E228" s="4">
        <v>54</v>
      </c>
      <c r="F228" s="5">
        <f>IF($E228="","",IFERROR(INDEX(PokemonRef!$C$2:$C$494,MATCH($E228,PokemonRef!$A$2:$A$494,0)),""))</f>
      </c>
      <c r="G228" s="5">
        <f>IF($E228="","",IFERROR(INDEX(PokemonRef!$B$2:$B$494,MATCH($E228,PokemonRef!$A$2:$A$494,0)),""))</f>
      </c>
      <c r="H228" s="4">
        <v>1</v>
      </c>
      <c r="I228" s="4">
        <v>25</v>
      </c>
      <c r="J228" s="4">
        <v>35</v>
      </c>
      <c r="K228" t="s">
        <v>15</v>
      </c>
      <c r="L228" t="s">
        <v>1022</v>
      </c>
      <c r="M228" t="s">
        <v>1022</v>
      </c>
      <c r="N228" s="5">
        <f>IF($E228="","",TEXTJOIN("|",TRUE,K228:M228))</f>
      </c>
      <c r="O228" t="s">
        <v>1022</v>
      </c>
    </row>
    <row r="229" spans="1:15" x14ac:dyDescent="0.25">
      <c r="A229" t="s">
        <v>1091</v>
      </c>
      <c r="B229" t="s">
        <v>1092</v>
      </c>
      <c r="C229" t="s">
        <v>6</v>
      </c>
      <c r="D229" t="s">
        <v>7</v>
      </c>
      <c r="E229" s="4">
        <v>79</v>
      </c>
      <c r="F229" s="5">
        <f>IF($E229="","",IFERROR(INDEX(PokemonRef!$C$2:$C$494,MATCH($E229,PokemonRef!$A$2:$A$494,0)),""))</f>
      </c>
      <c r="G229" s="5">
        <f>IF($E229="","",IFERROR(INDEX(PokemonRef!$B$2:$B$494,MATCH($E229,PokemonRef!$A$2:$A$494,0)),""))</f>
      </c>
      <c r="H229" s="4">
        <v>1</v>
      </c>
      <c r="I229" s="4">
        <v>25</v>
      </c>
      <c r="J229" s="4">
        <v>35</v>
      </c>
      <c r="K229" t="s">
        <v>15</v>
      </c>
      <c r="L229" t="s">
        <v>1022</v>
      </c>
      <c r="M229" t="s">
        <v>1022</v>
      </c>
      <c r="N229" s="5">
        <f>IF($E229="","",TEXTJOIN("|",TRUE,K229:M229))</f>
      </c>
      <c r="O229" t="s">
        <v>1022</v>
      </c>
    </row>
    <row r="230" spans="1:15" x14ac:dyDescent="0.25">
      <c r="A230" t="s">
        <v>1093</v>
      </c>
      <c r="B230" t="s">
        <v>1094</v>
      </c>
      <c r="C230" t="s">
        <v>6</v>
      </c>
      <c r="D230" t="s">
        <v>7</v>
      </c>
      <c r="E230" s="4">
        <v>98</v>
      </c>
      <c r="F230" s="5">
        <f>IF($E230="","",IFERROR(INDEX(PokemonRef!$C$2:$C$494,MATCH($E230,PokemonRef!$A$2:$A$494,0)),""))</f>
      </c>
      <c r="G230" s="5">
        <f>IF($E230="","",IFERROR(INDEX(PokemonRef!$B$2:$B$494,MATCH($E230,PokemonRef!$A$2:$A$494,0)),""))</f>
      </c>
      <c r="H230" s="4">
        <v>140</v>
      </c>
      <c r="I230" s="4">
        <v>5</v>
      </c>
      <c r="J230" s="4">
        <v>25</v>
      </c>
      <c r="K230" t="s">
        <v>14</v>
      </c>
      <c r="L230" t="s">
        <v>15</v>
      </c>
      <c r="M230" t="s">
        <v>1022</v>
      </c>
      <c r="N230" s="5">
        <f>IF($E230="","",TEXTJOIN("|",TRUE,K230:M230))</f>
      </c>
      <c r="O230" t="s">
        <v>1022</v>
      </c>
    </row>
    <row r="231" spans="1:15" x14ac:dyDescent="0.25">
      <c r="A231" t="s">
        <v>1093</v>
      </c>
      <c r="B231" t="s">
        <v>1094</v>
      </c>
      <c r="C231" t="s">
        <v>6</v>
      </c>
      <c r="D231" t="s">
        <v>7</v>
      </c>
      <c r="E231" s="4">
        <v>116</v>
      </c>
      <c r="F231" s="5">
        <f>IF($E231="","",IFERROR(INDEX(PokemonRef!$C$2:$C$494,MATCH($E231,PokemonRef!$A$2:$A$494,0)),""))</f>
      </c>
      <c r="G231" s="5">
        <f>IF($E231="","",IFERROR(INDEX(PokemonRef!$B$2:$B$494,MATCH($E231,PokemonRef!$A$2:$A$494,0)),""))</f>
      </c>
      <c r="H231" s="4">
        <v>140</v>
      </c>
      <c r="I231" s="4">
        <v>5</v>
      </c>
      <c r="J231" s="4">
        <v>25</v>
      </c>
      <c r="K231" t="s">
        <v>14</v>
      </c>
      <c r="L231" t="s">
        <v>15</v>
      </c>
      <c r="M231" t="s">
        <v>1022</v>
      </c>
      <c r="N231" s="5">
        <f>IF($E231="","",TEXTJOIN("|",TRUE,K231:M231))</f>
      </c>
      <c r="O231" t="s">
        <v>1022</v>
      </c>
    </row>
    <row r="232" spans="1:15" x14ac:dyDescent="0.25">
      <c r="A232" t="s">
        <v>1093</v>
      </c>
      <c r="B232" t="s">
        <v>1094</v>
      </c>
      <c r="C232" t="s">
        <v>6</v>
      </c>
      <c r="D232" t="s">
        <v>7</v>
      </c>
      <c r="E232" s="4">
        <v>129</v>
      </c>
      <c r="F232" s="5">
        <f>IF($E232="","",IFERROR(INDEX(PokemonRef!$C$2:$C$494,MATCH($E232,PokemonRef!$A$2:$A$494,0)),""))</f>
      </c>
      <c r="G232" s="5">
        <f>IF($E232="","",IFERROR(INDEX(PokemonRef!$B$2:$B$494,MATCH($E232,PokemonRef!$A$2:$A$494,0)),""))</f>
      </c>
      <c r="H232" s="4">
        <v>120</v>
      </c>
      <c r="I232" s="4">
        <v>5</v>
      </c>
      <c r="J232" s="4">
        <v>15</v>
      </c>
      <c r="K232" t="s">
        <v>14</v>
      </c>
      <c r="L232" t="s">
        <v>13</v>
      </c>
      <c r="M232" t="s">
        <v>1022</v>
      </c>
      <c r="N232" s="5">
        <f>IF($E232="","",TEXTJOIN("|",TRUE,K232:M232))</f>
      </c>
      <c r="O232" t="s">
        <v>1022</v>
      </c>
    </row>
    <row r="233" spans="1:15" x14ac:dyDescent="0.25">
      <c r="A233" t="s">
        <v>1093</v>
      </c>
      <c r="B233" t="s">
        <v>1094</v>
      </c>
      <c r="C233" t="s">
        <v>6</v>
      </c>
      <c r="D233" t="s">
        <v>7</v>
      </c>
      <c r="E233" s="4">
        <v>72</v>
      </c>
      <c r="F233" s="5">
        <f>IF($E233="","",IFERROR(INDEX(PokemonRef!$C$2:$C$494,MATCH($E233,PokemonRef!$A$2:$A$494,0)),""))</f>
      </c>
      <c r="G233" s="5">
        <f>IF($E233="","",IFERROR(INDEX(PokemonRef!$B$2:$B$494,MATCH($E233,PokemonRef!$A$2:$A$494,0)),""))</f>
      </c>
      <c r="H233" s="4">
        <v>100</v>
      </c>
      <c r="I233" s="4">
        <v>5</v>
      </c>
      <c r="J233" s="4">
        <v>40</v>
      </c>
      <c r="K233" t="s">
        <v>11</v>
      </c>
      <c r="L233" t="s">
        <v>1022</v>
      </c>
      <c r="M233" t="s">
        <v>1022</v>
      </c>
      <c r="N233" s="5">
        <f>IF($E233="","",TEXTJOIN("|",TRUE,K233:M233))</f>
      </c>
      <c r="O233" t="s">
        <v>1022</v>
      </c>
    </row>
    <row r="234" spans="1:15" x14ac:dyDescent="0.25">
      <c r="A234" t="s">
        <v>1093</v>
      </c>
      <c r="B234" t="s">
        <v>1094</v>
      </c>
      <c r="C234" t="s">
        <v>6</v>
      </c>
      <c r="D234" t="s">
        <v>7</v>
      </c>
      <c r="E234" s="4">
        <v>130</v>
      </c>
      <c r="F234" s="5">
        <f>IF($E234="","",IFERROR(INDEX(PokemonRef!$C$2:$C$494,MATCH($E234,PokemonRef!$A$2:$A$494,0)),""))</f>
      </c>
      <c r="G234" s="5">
        <f>IF($E234="","",IFERROR(INDEX(PokemonRef!$B$2:$B$494,MATCH($E234,PokemonRef!$A$2:$A$494,0)),""))</f>
      </c>
      <c r="H234" s="4">
        <v>15</v>
      </c>
      <c r="I234" s="4">
        <v>15</v>
      </c>
      <c r="J234" s="4">
        <v>25</v>
      </c>
      <c r="K234" t="s">
        <v>15</v>
      </c>
      <c r="L234" t="s">
        <v>1022</v>
      </c>
      <c r="M234" t="s">
        <v>1022</v>
      </c>
      <c r="N234" s="5">
        <f>IF($E234="","",TEXTJOIN("|",TRUE,K234:M234))</f>
      </c>
      <c r="O234" t="s">
        <v>1022</v>
      </c>
    </row>
    <row r="235" spans="1:15" x14ac:dyDescent="0.25">
      <c r="A235" t="s">
        <v>1093</v>
      </c>
      <c r="B235" t="s">
        <v>1094</v>
      </c>
      <c r="C235" t="s">
        <v>6</v>
      </c>
      <c r="D235" t="s">
        <v>7</v>
      </c>
      <c r="E235" s="4">
        <v>99</v>
      </c>
      <c r="F235" s="5">
        <f>IF($E235="","",IFERROR(INDEX(PokemonRef!$C$2:$C$494,MATCH($E235,PokemonRef!$A$2:$A$494,0)),""))</f>
      </c>
      <c r="G235" s="5">
        <f>IF($E235="","",IFERROR(INDEX(PokemonRef!$B$2:$B$494,MATCH($E235,PokemonRef!$A$2:$A$494,0)),""))</f>
      </c>
      <c r="H235" s="4">
        <v>4</v>
      </c>
      <c r="I235" s="4">
        <v>25</v>
      </c>
      <c r="J235" s="4">
        <v>35</v>
      </c>
      <c r="K235" t="s">
        <v>15</v>
      </c>
      <c r="L235" t="s">
        <v>1022</v>
      </c>
      <c r="M235" t="s">
        <v>1022</v>
      </c>
      <c r="N235" s="5">
        <f>IF($E235="","",TEXTJOIN("|",TRUE,K235:M235))</f>
      </c>
      <c r="O235" t="s">
        <v>1022</v>
      </c>
    </row>
    <row r="236" spans="1:15" x14ac:dyDescent="0.25">
      <c r="A236" t="s">
        <v>1093</v>
      </c>
      <c r="B236" t="s">
        <v>1094</v>
      </c>
      <c r="C236" t="s">
        <v>6</v>
      </c>
      <c r="D236" t="s">
        <v>7</v>
      </c>
      <c r="E236" s="4">
        <v>117</v>
      </c>
      <c r="F236" s="5">
        <f>IF($E236="","",IFERROR(INDEX(PokemonRef!$C$2:$C$494,MATCH($E236,PokemonRef!$A$2:$A$494,0)),""))</f>
      </c>
      <c r="G236" s="5">
        <f>IF($E236="","",IFERROR(INDEX(PokemonRef!$B$2:$B$494,MATCH($E236,PokemonRef!$A$2:$A$494,0)),""))</f>
      </c>
      <c r="H236" s="4">
        <v>4</v>
      </c>
      <c r="I236" s="4">
        <v>25</v>
      </c>
      <c r="J236" s="4">
        <v>35</v>
      </c>
      <c r="K236" t="s">
        <v>15</v>
      </c>
      <c r="L236" t="s">
        <v>1022</v>
      </c>
      <c r="M236" t="s">
        <v>1022</v>
      </c>
      <c r="N236" s="5">
        <f>IF($E236="","",TEXTJOIN("|",TRUE,K236:M236))</f>
      </c>
      <c r="O236" t="s">
        <v>1022</v>
      </c>
    </row>
    <row r="237" spans="1:15" x14ac:dyDescent="0.25">
      <c r="A237" t="s">
        <v>1093</v>
      </c>
      <c r="B237" t="s">
        <v>1094</v>
      </c>
      <c r="C237" t="s">
        <v>6</v>
      </c>
      <c r="D237" t="s">
        <v>7</v>
      </c>
      <c r="E237" s="4">
        <v>54</v>
      </c>
      <c r="F237" s="5">
        <f>IF($E237="","",IFERROR(INDEX(PokemonRef!$C$2:$C$494,MATCH($E237,PokemonRef!$A$2:$A$494,0)),""))</f>
      </c>
      <c r="G237" s="5">
        <f>IF($E237="","",IFERROR(INDEX(PokemonRef!$B$2:$B$494,MATCH($E237,PokemonRef!$A$2:$A$494,0)),""))</f>
      </c>
      <c r="H237" s="4">
        <v>1</v>
      </c>
      <c r="I237" s="4">
        <v>25</v>
      </c>
      <c r="J237" s="4">
        <v>35</v>
      </c>
      <c r="K237" t="s">
        <v>15</v>
      </c>
      <c r="L237" t="s">
        <v>1022</v>
      </c>
      <c r="M237" t="s">
        <v>1022</v>
      </c>
      <c r="N237" s="5">
        <f>IF($E237="","",TEXTJOIN("|",TRUE,K237:M237))</f>
      </c>
      <c r="O237" t="s">
        <v>1022</v>
      </c>
    </row>
    <row r="238" spans="1:15" x14ac:dyDescent="0.25">
      <c r="A238" t="s">
        <v>1093</v>
      </c>
      <c r="B238" t="s">
        <v>1094</v>
      </c>
      <c r="C238" t="s">
        <v>6</v>
      </c>
      <c r="D238" t="s">
        <v>7</v>
      </c>
      <c r="E238" s="4">
        <v>79</v>
      </c>
      <c r="F238" s="5">
        <f>IF($E238="","",IFERROR(INDEX(PokemonRef!$C$2:$C$494,MATCH($E238,PokemonRef!$A$2:$A$494,0)),""))</f>
      </c>
      <c r="G238" s="5">
        <f>IF($E238="","",IFERROR(INDEX(PokemonRef!$B$2:$B$494,MATCH($E238,PokemonRef!$A$2:$A$494,0)),""))</f>
      </c>
      <c r="H238" s="4">
        <v>1</v>
      </c>
      <c r="I238" s="4">
        <v>25</v>
      </c>
      <c r="J238" s="4">
        <v>35</v>
      </c>
      <c r="K238" t="s">
        <v>15</v>
      </c>
      <c r="L238" t="s">
        <v>1022</v>
      </c>
      <c r="M238" t="s">
        <v>1022</v>
      </c>
      <c r="N238" s="5">
        <f>IF($E238="","",TEXTJOIN("|",TRUE,K238:M238))</f>
      </c>
      <c r="O238" t="s">
        <v>1022</v>
      </c>
    </row>
    <row r="239" spans="1:15" x14ac:dyDescent="0.25">
      <c r="A239" t="s">
        <v>1095</v>
      </c>
      <c r="B239" t="s">
        <v>1096</v>
      </c>
      <c r="C239" t="s">
        <v>6</v>
      </c>
      <c r="D239" t="s">
        <v>7</v>
      </c>
      <c r="E239" s="4">
        <v>98</v>
      </c>
      <c r="F239" s="5">
        <f>IF($E239="","",IFERROR(INDEX(PokemonRef!$C$2:$C$494,MATCH($E239,PokemonRef!$A$2:$A$494,0)),""))</f>
      </c>
      <c r="G239" s="5">
        <f>IF($E239="","",IFERROR(INDEX(PokemonRef!$B$2:$B$494,MATCH($E239,PokemonRef!$A$2:$A$494,0)),""))</f>
      </c>
      <c r="H239" s="4">
        <v>140</v>
      </c>
      <c r="I239" s="4">
        <v>5</v>
      </c>
      <c r="J239" s="4">
        <v>25</v>
      </c>
      <c r="K239" t="s">
        <v>14</v>
      </c>
      <c r="L239" t="s">
        <v>15</v>
      </c>
      <c r="M239" t="s">
        <v>1022</v>
      </c>
      <c r="N239" s="5">
        <f>IF($E239="","",TEXTJOIN("|",TRUE,K239:M239))</f>
      </c>
      <c r="O239" t="s">
        <v>1022</v>
      </c>
    </row>
    <row r="240" spans="1:15" x14ac:dyDescent="0.25">
      <c r="A240" t="s">
        <v>1095</v>
      </c>
      <c r="B240" t="s">
        <v>1096</v>
      </c>
      <c r="C240" t="s">
        <v>6</v>
      </c>
      <c r="D240" t="s">
        <v>7</v>
      </c>
      <c r="E240" s="4">
        <v>116</v>
      </c>
      <c r="F240" s="5">
        <f>IF($E240="","",IFERROR(INDEX(PokemonRef!$C$2:$C$494,MATCH($E240,PokemonRef!$A$2:$A$494,0)),""))</f>
      </c>
      <c r="G240" s="5">
        <f>IF($E240="","",IFERROR(INDEX(PokemonRef!$B$2:$B$494,MATCH($E240,PokemonRef!$A$2:$A$494,0)),""))</f>
      </c>
      <c r="H240" s="4">
        <v>140</v>
      </c>
      <c r="I240" s="4">
        <v>5</v>
      </c>
      <c r="J240" s="4">
        <v>25</v>
      </c>
      <c r="K240" t="s">
        <v>14</v>
      </c>
      <c r="L240" t="s">
        <v>15</v>
      </c>
      <c r="M240" t="s">
        <v>1022</v>
      </c>
      <c r="N240" s="5">
        <f>IF($E240="","",TEXTJOIN("|",TRUE,K240:M240))</f>
      </c>
      <c r="O240" t="s">
        <v>1022</v>
      </c>
    </row>
    <row r="241" spans="1:15" x14ac:dyDescent="0.25">
      <c r="A241" t="s">
        <v>1095</v>
      </c>
      <c r="B241" t="s">
        <v>1096</v>
      </c>
      <c r="C241" t="s">
        <v>6</v>
      </c>
      <c r="D241" t="s">
        <v>7</v>
      </c>
      <c r="E241" s="4">
        <v>129</v>
      </c>
      <c r="F241" s="5">
        <f>IF($E241="","",IFERROR(INDEX(PokemonRef!$C$2:$C$494,MATCH($E241,PokemonRef!$A$2:$A$494,0)),""))</f>
      </c>
      <c r="G241" s="5">
        <f>IF($E241="","",IFERROR(INDEX(PokemonRef!$B$2:$B$494,MATCH($E241,PokemonRef!$A$2:$A$494,0)),""))</f>
      </c>
      <c r="H241" s="4">
        <v>120</v>
      </c>
      <c r="I241" s="4">
        <v>5</v>
      </c>
      <c r="J241" s="4">
        <v>15</v>
      </c>
      <c r="K241" t="s">
        <v>14</v>
      </c>
      <c r="L241" t="s">
        <v>13</v>
      </c>
      <c r="M241" t="s">
        <v>1022</v>
      </c>
      <c r="N241" s="5">
        <f>IF($E241="","",TEXTJOIN("|",TRUE,K241:M241))</f>
      </c>
      <c r="O241" t="s">
        <v>1022</v>
      </c>
    </row>
    <row r="242" spans="1:15" x14ac:dyDescent="0.25">
      <c r="A242" t="s">
        <v>1095</v>
      </c>
      <c r="B242" t="s">
        <v>1096</v>
      </c>
      <c r="C242" t="s">
        <v>6</v>
      </c>
      <c r="D242" t="s">
        <v>7</v>
      </c>
      <c r="E242" s="4">
        <v>72</v>
      </c>
      <c r="F242" s="5">
        <f>IF($E242="","",IFERROR(INDEX(PokemonRef!$C$2:$C$494,MATCH($E242,PokemonRef!$A$2:$A$494,0)),""))</f>
      </c>
      <c r="G242" s="5">
        <f>IF($E242="","",IFERROR(INDEX(PokemonRef!$B$2:$B$494,MATCH($E242,PokemonRef!$A$2:$A$494,0)),""))</f>
      </c>
      <c r="H242" s="4">
        <v>100</v>
      </c>
      <c r="I242" s="4">
        <v>5</v>
      </c>
      <c r="J242" s="4">
        <v>40</v>
      </c>
      <c r="K242" t="s">
        <v>11</v>
      </c>
      <c r="L242" t="s">
        <v>1022</v>
      </c>
      <c r="M242" t="s">
        <v>1022</v>
      </c>
      <c r="N242" s="5">
        <f>IF($E242="","",TEXTJOIN("|",TRUE,K242:M242))</f>
      </c>
      <c r="O242" t="s">
        <v>1022</v>
      </c>
    </row>
    <row r="243" spans="1:15" x14ac:dyDescent="0.25">
      <c r="A243" t="s">
        <v>1095</v>
      </c>
      <c r="B243" t="s">
        <v>1096</v>
      </c>
      <c r="C243" t="s">
        <v>6</v>
      </c>
      <c r="D243" t="s">
        <v>7</v>
      </c>
      <c r="E243" s="4">
        <v>130</v>
      </c>
      <c r="F243" s="5">
        <f>IF($E243="","",IFERROR(INDEX(PokemonRef!$C$2:$C$494,MATCH($E243,PokemonRef!$A$2:$A$494,0)),""))</f>
      </c>
      <c r="G243" s="5">
        <f>IF($E243="","",IFERROR(INDEX(PokemonRef!$B$2:$B$494,MATCH($E243,PokemonRef!$A$2:$A$494,0)),""))</f>
      </c>
      <c r="H243" s="4">
        <v>15</v>
      </c>
      <c r="I243" s="4">
        <v>15</v>
      </c>
      <c r="J243" s="4">
        <v>25</v>
      </c>
      <c r="K243" t="s">
        <v>15</v>
      </c>
      <c r="L243" t="s">
        <v>1022</v>
      </c>
      <c r="M243" t="s">
        <v>1022</v>
      </c>
      <c r="N243" s="5">
        <f>IF($E243="","",TEXTJOIN("|",TRUE,K243:M243))</f>
      </c>
      <c r="O243" t="s">
        <v>1022</v>
      </c>
    </row>
    <row r="244" spans="1:15" x14ac:dyDescent="0.25">
      <c r="A244" t="s">
        <v>1095</v>
      </c>
      <c r="B244" t="s">
        <v>1096</v>
      </c>
      <c r="C244" t="s">
        <v>6</v>
      </c>
      <c r="D244" t="s">
        <v>7</v>
      </c>
      <c r="E244" s="4">
        <v>99</v>
      </c>
      <c r="F244" s="5">
        <f>IF($E244="","",IFERROR(INDEX(PokemonRef!$C$2:$C$494,MATCH($E244,PokemonRef!$A$2:$A$494,0)),""))</f>
      </c>
      <c r="G244" s="5">
        <f>IF($E244="","",IFERROR(INDEX(PokemonRef!$B$2:$B$494,MATCH($E244,PokemonRef!$A$2:$A$494,0)),""))</f>
      </c>
      <c r="H244" s="4">
        <v>4</v>
      </c>
      <c r="I244" s="4">
        <v>25</v>
      </c>
      <c r="J244" s="4">
        <v>35</v>
      </c>
      <c r="K244" t="s">
        <v>15</v>
      </c>
      <c r="L244" t="s">
        <v>1022</v>
      </c>
      <c r="M244" t="s">
        <v>1022</v>
      </c>
      <c r="N244" s="5">
        <f>IF($E244="","",TEXTJOIN("|",TRUE,K244:M244))</f>
      </c>
      <c r="O244" t="s">
        <v>1022</v>
      </c>
    </row>
    <row r="245" spans="1:15" x14ac:dyDescent="0.25">
      <c r="A245" t="s">
        <v>1095</v>
      </c>
      <c r="B245" t="s">
        <v>1096</v>
      </c>
      <c r="C245" t="s">
        <v>6</v>
      </c>
      <c r="D245" t="s">
        <v>7</v>
      </c>
      <c r="E245" s="4">
        <v>117</v>
      </c>
      <c r="F245" s="5">
        <f>IF($E245="","",IFERROR(INDEX(PokemonRef!$C$2:$C$494,MATCH($E245,PokemonRef!$A$2:$A$494,0)),""))</f>
      </c>
      <c r="G245" s="5">
        <f>IF($E245="","",IFERROR(INDEX(PokemonRef!$B$2:$B$494,MATCH($E245,PokemonRef!$A$2:$A$494,0)),""))</f>
      </c>
      <c r="H245" s="4">
        <v>4</v>
      </c>
      <c r="I245" s="4">
        <v>25</v>
      </c>
      <c r="J245" s="4">
        <v>35</v>
      </c>
      <c r="K245" t="s">
        <v>15</v>
      </c>
      <c r="L245" t="s">
        <v>1022</v>
      </c>
      <c r="M245" t="s">
        <v>1022</v>
      </c>
      <c r="N245" s="5">
        <f>IF($E245="","",TEXTJOIN("|",TRUE,K245:M245))</f>
      </c>
      <c r="O245" t="s">
        <v>1022</v>
      </c>
    </row>
    <row r="246" spans="1:15" x14ac:dyDescent="0.25">
      <c r="A246" t="s">
        <v>1095</v>
      </c>
      <c r="B246" t="s">
        <v>1096</v>
      </c>
      <c r="C246" t="s">
        <v>6</v>
      </c>
      <c r="D246" t="s">
        <v>7</v>
      </c>
      <c r="E246" s="4">
        <v>54</v>
      </c>
      <c r="F246" s="5">
        <f>IF($E246="","",IFERROR(INDEX(PokemonRef!$C$2:$C$494,MATCH($E246,PokemonRef!$A$2:$A$494,0)),""))</f>
      </c>
      <c r="G246" s="5">
        <f>IF($E246="","",IFERROR(INDEX(PokemonRef!$B$2:$B$494,MATCH($E246,PokemonRef!$A$2:$A$494,0)),""))</f>
      </c>
      <c r="H246" s="4">
        <v>1</v>
      </c>
      <c r="I246" s="4">
        <v>25</v>
      </c>
      <c r="J246" s="4">
        <v>35</v>
      </c>
      <c r="K246" t="s">
        <v>15</v>
      </c>
      <c r="L246" t="s">
        <v>1022</v>
      </c>
      <c r="M246" t="s">
        <v>1022</v>
      </c>
      <c r="N246" s="5">
        <f>IF($E246="","",TEXTJOIN("|",TRUE,K246:M246))</f>
      </c>
      <c r="O246" t="s">
        <v>1022</v>
      </c>
    </row>
    <row r="247" spans="1:15" x14ac:dyDescent="0.25">
      <c r="A247" t="s">
        <v>1095</v>
      </c>
      <c r="B247" t="s">
        <v>1096</v>
      </c>
      <c r="C247" t="s">
        <v>6</v>
      </c>
      <c r="D247" t="s">
        <v>7</v>
      </c>
      <c r="E247" s="4">
        <v>79</v>
      </c>
      <c r="F247" s="5">
        <f>IF($E247="","",IFERROR(INDEX(PokemonRef!$C$2:$C$494,MATCH($E247,PokemonRef!$A$2:$A$494,0)),""))</f>
      </c>
      <c r="G247" s="5">
        <f>IF($E247="","",IFERROR(INDEX(PokemonRef!$B$2:$B$494,MATCH($E247,PokemonRef!$A$2:$A$494,0)),""))</f>
      </c>
      <c r="H247" s="4">
        <v>1</v>
      </c>
      <c r="I247" s="4">
        <v>25</v>
      </c>
      <c r="J247" s="4">
        <v>35</v>
      </c>
      <c r="K247" t="s">
        <v>15</v>
      </c>
      <c r="L247" t="s">
        <v>1022</v>
      </c>
      <c r="M247" t="s">
        <v>1022</v>
      </c>
      <c r="N247" s="5">
        <f>IF($E247="","",TEXTJOIN("|",TRUE,K247:M247))</f>
      </c>
      <c r="O247" t="s">
        <v>1022</v>
      </c>
    </row>
    <row r="248" spans="1:15" x14ac:dyDescent="0.25">
      <c r="A248" t="s">
        <v>1097</v>
      </c>
      <c r="B248" t="s">
        <v>1098</v>
      </c>
      <c r="C248" t="s">
        <v>12</v>
      </c>
      <c r="D248" t="s">
        <v>7</v>
      </c>
      <c r="E248" s="4">
        <v>98</v>
      </c>
      <c r="F248" s="5">
        <f>IF($E248="","",IFERROR(INDEX(PokemonRef!$C$2:$C$494,MATCH($E248,PokemonRef!$A$2:$A$494,0)),""))</f>
      </c>
      <c r="G248" s="5">
        <f>IF($E248="","",IFERROR(INDEX(PokemonRef!$B$2:$B$494,MATCH($E248,PokemonRef!$A$2:$A$494,0)),""))</f>
      </c>
      <c r="H248" s="4">
        <v>170</v>
      </c>
      <c r="I248" s="4">
        <v>5</v>
      </c>
      <c r="J248" s="4">
        <v>30</v>
      </c>
      <c r="K248" t="s">
        <v>14</v>
      </c>
      <c r="L248" t="s">
        <v>15</v>
      </c>
      <c r="M248" t="s">
        <v>11</v>
      </c>
      <c r="N248" s="5">
        <f>IF($E248="","",TEXTJOIN("|",TRUE,K248:M248))</f>
      </c>
      <c r="O248" t="s">
        <v>1022</v>
      </c>
    </row>
    <row r="249" spans="1:15" x14ac:dyDescent="0.25">
      <c r="A249" t="s">
        <v>1097</v>
      </c>
      <c r="B249" t="s">
        <v>1098</v>
      </c>
      <c r="C249" t="s">
        <v>12</v>
      </c>
      <c r="D249" t="s">
        <v>7</v>
      </c>
      <c r="E249" s="4">
        <v>116</v>
      </c>
      <c r="F249" s="5">
        <f>IF($E249="","",IFERROR(INDEX(PokemonRef!$C$2:$C$494,MATCH($E249,PokemonRef!$A$2:$A$494,0)),""))</f>
      </c>
      <c r="G249" s="5">
        <f>IF($E249="","",IFERROR(INDEX(PokemonRef!$B$2:$B$494,MATCH($E249,PokemonRef!$A$2:$A$494,0)),""))</f>
      </c>
      <c r="H249" s="4">
        <v>170</v>
      </c>
      <c r="I249" s="4">
        <v>5</v>
      </c>
      <c r="J249" s="4">
        <v>30</v>
      </c>
      <c r="K249" t="s">
        <v>14</v>
      </c>
      <c r="L249" t="s">
        <v>15</v>
      </c>
      <c r="M249" t="s">
        <v>11</v>
      </c>
      <c r="N249" s="5">
        <f>IF($E249="","",TEXTJOIN("|",TRUE,K249:M249))</f>
      </c>
      <c r="O249" t="s">
        <v>1022</v>
      </c>
    </row>
    <row r="250" spans="1:15" x14ac:dyDescent="0.25">
      <c r="A250" t="s">
        <v>1097</v>
      </c>
      <c r="B250" t="s">
        <v>1098</v>
      </c>
      <c r="C250" t="s">
        <v>12</v>
      </c>
      <c r="D250" t="s">
        <v>7</v>
      </c>
      <c r="E250" s="4">
        <v>129</v>
      </c>
      <c r="F250" s="5">
        <f>IF($E250="","",IFERROR(INDEX(PokemonRef!$C$2:$C$494,MATCH($E250,PokemonRef!$A$2:$A$494,0)),""))</f>
      </c>
      <c r="G250" s="5">
        <f>IF($E250="","",IFERROR(INDEX(PokemonRef!$B$2:$B$494,MATCH($E250,PokemonRef!$A$2:$A$494,0)),""))</f>
      </c>
      <c r="H250" s="4">
        <v>120</v>
      </c>
      <c r="I250" s="4">
        <v>5</v>
      </c>
      <c r="J250" s="4">
        <v>15</v>
      </c>
      <c r="K250" t="s">
        <v>14</v>
      </c>
      <c r="L250" t="s">
        <v>13</v>
      </c>
      <c r="M250" t="s">
        <v>1022</v>
      </c>
      <c r="N250" s="5">
        <f>IF($E250="","",TEXTJOIN("|",TRUE,K250:M250))</f>
      </c>
      <c r="O250" t="s">
        <v>1022</v>
      </c>
    </row>
    <row r="251" spans="1:15" x14ac:dyDescent="0.25">
      <c r="A251" t="s">
        <v>1097</v>
      </c>
      <c r="B251" t="s">
        <v>1098</v>
      </c>
      <c r="C251" t="s">
        <v>12</v>
      </c>
      <c r="D251" t="s">
        <v>7</v>
      </c>
      <c r="E251" s="4">
        <v>86</v>
      </c>
      <c r="F251" s="5">
        <f>IF($E251="","",IFERROR(INDEX(PokemonRef!$C$2:$C$494,MATCH($E251,PokemonRef!$A$2:$A$494,0)),""))</f>
      </c>
      <c r="G251" s="5">
        <f>IF($E251="","",IFERROR(INDEX(PokemonRef!$B$2:$B$494,MATCH($E251,PokemonRef!$A$2:$A$494,0)),""))</f>
      </c>
      <c r="H251" s="4">
        <v>110</v>
      </c>
      <c r="I251" s="4">
        <v>25</v>
      </c>
      <c r="J251" s="4">
        <v>35</v>
      </c>
      <c r="K251" t="s">
        <v>11</v>
      </c>
      <c r="L251" t="s">
        <v>8</v>
      </c>
      <c r="M251" t="s">
        <v>1022</v>
      </c>
      <c r="N251" s="5">
        <f>IF($E251="","",TEXTJOIN("|",TRUE,K251:M251))</f>
      </c>
      <c r="O251" t="s">
        <v>1022</v>
      </c>
    </row>
    <row r="252" spans="1:15" x14ac:dyDescent="0.25">
      <c r="A252" t="s">
        <v>1097</v>
      </c>
      <c r="B252" t="s">
        <v>1098</v>
      </c>
      <c r="C252" t="s">
        <v>12</v>
      </c>
      <c r="D252" t="s">
        <v>7</v>
      </c>
      <c r="E252" s="4">
        <v>144</v>
      </c>
      <c r="F252" s="5">
        <f>IF($E252="","",IFERROR(INDEX(PokemonRef!$C$2:$C$494,MATCH($E252,PokemonRef!$A$2:$A$494,0)),""))</f>
      </c>
      <c r="G252" s="5">
        <f>IF($E252="","",IFERROR(INDEX(PokemonRef!$B$2:$B$494,MATCH($E252,PokemonRef!$A$2:$A$494,0)),""))</f>
      </c>
      <c r="H252" s="4">
        <v>100</v>
      </c>
      <c r="I252" s="4">
        <v>50</v>
      </c>
      <c r="J252" s="4">
        <v>50</v>
      </c>
      <c r="K252" t="s">
        <v>17</v>
      </c>
      <c r="L252" t="s">
        <v>1022</v>
      </c>
      <c r="M252" t="s">
        <v>1022</v>
      </c>
      <c r="N252" s="5">
        <f>IF($E252="","",TEXTJOIN("|",TRUE,K252:M252))</f>
      </c>
      <c r="O252" t="s">
        <v>1022</v>
      </c>
    </row>
    <row r="253" spans="1:15" x14ac:dyDescent="0.25">
      <c r="A253" t="s">
        <v>1097</v>
      </c>
      <c r="B253" t="s">
        <v>1098</v>
      </c>
      <c r="C253" t="s">
        <v>12</v>
      </c>
      <c r="D253" t="s">
        <v>7</v>
      </c>
      <c r="E253" s="4">
        <v>54</v>
      </c>
      <c r="F253" s="5">
        <f>IF($E253="","",IFERROR(INDEX(PokemonRef!$C$2:$C$494,MATCH($E253,PokemonRef!$A$2:$A$494,0)),""))</f>
      </c>
      <c r="G253" s="5">
        <f>IF($E253="","",IFERROR(INDEX(PokemonRef!$B$2:$B$494,MATCH($E253,PokemonRef!$A$2:$A$494,0)),""))</f>
      </c>
      <c r="H253" s="4">
        <v>55</v>
      </c>
      <c r="I253" s="4">
        <v>15</v>
      </c>
      <c r="J253" s="4">
        <v>40</v>
      </c>
      <c r="K253" t="s">
        <v>15</v>
      </c>
      <c r="L253" t="s">
        <v>11</v>
      </c>
      <c r="M253" t="s">
        <v>8</v>
      </c>
      <c r="N253" s="5">
        <f>IF($E253="","",TEXTJOIN("|",TRUE,K253:M253))</f>
      </c>
      <c r="O253" t="s">
        <v>1022</v>
      </c>
    </row>
    <row r="254" spans="1:15" x14ac:dyDescent="0.25">
      <c r="A254" t="s">
        <v>1097</v>
      </c>
      <c r="B254" t="s">
        <v>1098</v>
      </c>
      <c r="C254" t="s">
        <v>12</v>
      </c>
      <c r="D254" t="s">
        <v>7</v>
      </c>
      <c r="E254" s="4">
        <v>79</v>
      </c>
      <c r="F254" s="5">
        <f>IF($E254="","",IFERROR(INDEX(PokemonRef!$C$2:$C$494,MATCH($E254,PokemonRef!$A$2:$A$494,0)),""))</f>
      </c>
      <c r="G254" s="5">
        <f>IF($E254="","",IFERROR(INDEX(PokemonRef!$B$2:$B$494,MATCH($E254,PokemonRef!$A$2:$A$494,0)),""))</f>
      </c>
      <c r="H254" s="4">
        <v>55</v>
      </c>
      <c r="I254" s="4">
        <v>15</v>
      </c>
      <c r="J254" s="4">
        <v>40</v>
      </c>
      <c r="K254" t="s">
        <v>15</v>
      </c>
      <c r="L254" t="s">
        <v>11</v>
      </c>
      <c r="M254" t="s">
        <v>8</v>
      </c>
      <c r="N254" s="5">
        <f>IF($E254="","",TEXTJOIN("|",TRUE,K254:M254))</f>
      </c>
      <c r="O254" t="s">
        <v>1022</v>
      </c>
    </row>
    <row r="255" spans="1:15" x14ac:dyDescent="0.25">
      <c r="A255" t="s">
        <v>1097</v>
      </c>
      <c r="B255" t="s">
        <v>1098</v>
      </c>
      <c r="C255" t="s">
        <v>12</v>
      </c>
      <c r="D255" t="s">
        <v>7</v>
      </c>
      <c r="E255" s="4">
        <v>41</v>
      </c>
      <c r="F255" s="5">
        <f>IF($E255="","",IFERROR(INDEX(PokemonRef!$C$2:$C$494,MATCH($E255,PokemonRef!$A$2:$A$494,0)),""))</f>
      </c>
      <c r="G255" s="5">
        <f>IF($E255="","",IFERROR(INDEX(PokemonRef!$B$2:$B$494,MATCH($E255,PokemonRef!$A$2:$A$494,0)),""))</f>
      </c>
      <c r="H255" s="4">
        <v>34</v>
      </c>
      <c r="I255" s="4">
        <v>22</v>
      </c>
      <c r="J255" s="4">
        <v>26</v>
      </c>
      <c r="K255" t="s">
        <v>8</v>
      </c>
      <c r="L255" t="s">
        <v>1022</v>
      </c>
      <c r="M255" t="s">
        <v>1022</v>
      </c>
      <c r="N255" s="5">
        <f>IF($E255="","",TEXTJOIN("|",TRUE,K255:M255))</f>
      </c>
      <c r="O255" t="s">
        <v>1022</v>
      </c>
    </row>
    <row r="256" spans="1:15" x14ac:dyDescent="0.25">
      <c r="A256" t="s">
        <v>1097</v>
      </c>
      <c r="B256" t="s">
        <v>1098</v>
      </c>
      <c r="C256" t="s">
        <v>12</v>
      </c>
      <c r="D256" t="s">
        <v>7</v>
      </c>
      <c r="E256" s="4">
        <v>55</v>
      </c>
      <c r="F256" s="5">
        <f>IF($E256="","",IFERROR(INDEX(PokemonRef!$C$2:$C$494,MATCH($E256,PokemonRef!$A$2:$A$494,0)),""))</f>
      </c>
      <c r="G256" s="5">
        <f>IF($E256="","",IFERROR(INDEX(PokemonRef!$B$2:$B$494,MATCH($E256,PokemonRef!$A$2:$A$494,0)),""))</f>
      </c>
      <c r="H256" s="4">
        <v>16</v>
      </c>
      <c r="I256" s="4">
        <v>32</v>
      </c>
      <c r="J256" s="4">
        <v>40</v>
      </c>
      <c r="K256" t="s">
        <v>11</v>
      </c>
      <c r="L256" t="s">
        <v>8</v>
      </c>
      <c r="M256" t="s">
        <v>1022</v>
      </c>
      <c r="N256" s="5">
        <f>IF($E256="","",TEXTJOIN("|",TRUE,K256:M256))</f>
      </c>
      <c r="O256" t="s">
        <v>1022</v>
      </c>
    </row>
    <row r="257" spans="1:15" x14ac:dyDescent="0.25">
      <c r="A257" t="s">
        <v>1097</v>
      </c>
      <c r="B257" t="s">
        <v>1098</v>
      </c>
      <c r="C257" t="s">
        <v>12</v>
      </c>
      <c r="D257" t="s">
        <v>7</v>
      </c>
      <c r="E257" s="4">
        <v>80</v>
      </c>
      <c r="F257" s="5">
        <f>IF($E257="","",IFERROR(INDEX(PokemonRef!$C$2:$C$494,MATCH($E257,PokemonRef!$A$2:$A$494,0)),""))</f>
      </c>
      <c r="G257" s="5">
        <f>IF($E257="","",IFERROR(INDEX(PokemonRef!$B$2:$B$494,MATCH($E257,PokemonRef!$A$2:$A$494,0)),""))</f>
      </c>
      <c r="H257" s="4">
        <v>16</v>
      </c>
      <c r="I257" s="4">
        <v>32</v>
      </c>
      <c r="J257" s="4">
        <v>40</v>
      </c>
      <c r="K257" t="s">
        <v>11</v>
      </c>
      <c r="L257" t="s">
        <v>8</v>
      </c>
      <c r="M257" t="s">
        <v>1022</v>
      </c>
      <c r="N257" s="5">
        <f>IF($E257="","",TEXTJOIN("|",TRUE,K257:M257))</f>
      </c>
      <c r="O257" t="s">
        <v>1022</v>
      </c>
    </row>
    <row r="258" spans="1:15" x14ac:dyDescent="0.25">
      <c r="A258" t="s">
        <v>1097</v>
      </c>
      <c r="B258" t="s">
        <v>1098</v>
      </c>
      <c r="C258" t="s">
        <v>12</v>
      </c>
      <c r="D258" t="s">
        <v>7</v>
      </c>
      <c r="E258" s="4">
        <v>130</v>
      </c>
      <c r="F258" s="5">
        <f>IF($E258="","",IFERROR(INDEX(PokemonRef!$C$2:$C$494,MATCH($E258,PokemonRef!$A$2:$A$494,0)),""))</f>
      </c>
      <c r="G258" s="5">
        <f>IF($E258="","",IFERROR(INDEX(PokemonRef!$B$2:$B$494,MATCH($E258,PokemonRef!$A$2:$A$494,0)),""))</f>
      </c>
      <c r="H258" s="4">
        <v>16</v>
      </c>
      <c r="I258" s="4">
        <v>15</v>
      </c>
      <c r="J258" s="4">
        <v>35</v>
      </c>
      <c r="K258" t="s">
        <v>15</v>
      </c>
      <c r="L258" t="s">
        <v>1022</v>
      </c>
      <c r="M258" t="s">
        <v>1022</v>
      </c>
      <c r="N258" s="5">
        <f>IF($E258="","",TEXTJOIN("|",TRUE,K258:M258))</f>
      </c>
      <c r="O258" t="s">
        <v>1022</v>
      </c>
    </row>
    <row r="259" spans="1:15" x14ac:dyDescent="0.25">
      <c r="A259" t="s">
        <v>1097</v>
      </c>
      <c r="B259" t="s">
        <v>1098</v>
      </c>
      <c r="C259" t="s">
        <v>12</v>
      </c>
      <c r="D259" t="s">
        <v>7</v>
      </c>
      <c r="E259" s="4">
        <v>42</v>
      </c>
      <c r="F259" s="5">
        <f>IF($E259="","",IFERROR(INDEX(PokemonRef!$C$2:$C$494,MATCH($E259,PokemonRef!$A$2:$A$494,0)),""))</f>
      </c>
      <c r="G259" s="5">
        <f>IF($E259="","",IFERROR(INDEX(PokemonRef!$B$2:$B$494,MATCH($E259,PokemonRef!$A$2:$A$494,0)),""))</f>
      </c>
      <c r="H259" s="4">
        <v>15</v>
      </c>
      <c r="I259" s="4">
        <v>26</v>
      </c>
      <c r="J259" s="4">
        <v>30</v>
      </c>
      <c r="K259" t="s">
        <v>8</v>
      </c>
      <c r="L259" t="s">
        <v>1022</v>
      </c>
      <c r="M259" t="s">
        <v>1022</v>
      </c>
      <c r="N259" s="5">
        <f>IF($E259="","",TEXTJOIN("|",TRUE,K259:M259))</f>
      </c>
      <c r="O259" t="s">
        <v>1022</v>
      </c>
    </row>
    <row r="260" spans="1:15" x14ac:dyDescent="0.25">
      <c r="A260" t="s">
        <v>1097</v>
      </c>
      <c r="B260" t="s">
        <v>1098</v>
      </c>
      <c r="C260" t="s">
        <v>12</v>
      </c>
      <c r="D260" t="s">
        <v>7</v>
      </c>
      <c r="E260" s="4">
        <v>87</v>
      </c>
      <c r="F260" s="5">
        <f>IF($E260="","",IFERROR(INDEX(PokemonRef!$C$2:$C$494,MATCH($E260,PokemonRef!$A$2:$A$494,0)),""))</f>
      </c>
      <c r="G260" s="5">
        <f>IF($E260="","",IFERROR(INDEX(PokemonRef!$B$2:$B$494,MATCH($E260,PokemonRef!$A$2:$A$494,0)),""))</f>
      </c>
      <c r="H260" s="4">
        <v>15</v>
      </c>
      <c r="I260" s="4">
        <v>32</v>
      </c>
      <c r="J260" s="4">
        <v>40</v>
      </c>
      <c r="K260" t="s">
        <v>11</v>
      </c>
      <c r="L260" t="s">
        <v>8</v>
      </c>
      <c r="M260" t="s">
        <v>1022</v>
      </c>
      <c r="N260" s="5">
        <f>IF($E260="","",TEXTJOIN("|",TRUE,K260:M260))</f>
      </c>
      <c r="O260" t="s">
        <v>1022</v>
      </c>
    </row>
    <row r="261" spans="1:15" x14ac:dyDescent="0.25">
      <c r="A261" t="s">
        <v>1099</v>
      </c>
      <c r="B261" t="s">
        <v>1100</v>
      </c>
      <c r="C261" t="s">
        <v>1021</v>
      </c>
      <c r="D261" t="s">
        <v>10</v>
      </c>
      <c r="E261" s="4" t="s">
        <v>1022</v>
      </c>
      <c r="F261" s="5"/>
      <c r="G261" s="5"/>
      <c r="H261" s="4" t="s">
        <v>1022</v>
      </c>
      <c r="I261" s="4" t="s">
        <v>1022</v>
      </c>
      <c r="J261" s="4" t="s">
        <v>1022</v>
      </c>
      <c r="K261" t="s">
        <v>1022</v>
      </c>
      <c r="L261" t="s">
        <v>1022</v>
      </c>
      <c r="M261" t="s">
        <v>1022</v>
      </c>
      <c r="N261" s="5" t="s">
        <v>1022</v>
      </c>
      <c r="O261" t="s">
        <v>1022</v>
      </c>
    </row>
    <row r="262" spans="1:15" x14ac:dyDescent="0.25">
      <c r="A262" t="s">
        <v>1101</v>
      </c>
      <c r="B262" t="s">
        <v>1102</v>
      </c>
      <c r="C262" t="s">
        <v>12</v>
      </c>
      <c r="D262" t="s">
        <v>7</v>
      </c>
      <c r="E262" s="4">
        <v>20</v>
      </c>
      <c r="F262" s="5">
        <f>IF($E262="","",IFERROR(INDEX(PokemonRef!$C$2:$C$494,MATCH($E262,PokemonRef!$A$2:$A$494,0)),""))</f>
      </c>
      <c r="G262" s="5">
        <f>IF($E262="","",IFERROR(INDEX(PokemonRef!$B$2:$B$494,MATCH($E262,PokemonRef!$A$2:$A$494,0)),""))</f>
      </c>
      <c r="H262" s="4">
        <v>30</v>
      </c>
      <c r="I262" s="4">
        <v>32</v>
      </c>
      <c r="J262" s="4">
        <v>38</v>
      </c>
      <c r="K262" t="s">
        <v>8</v>
      </c>
      <c r="L262" t="s">
        <v>1022</v>
      </c>
      <c r="M262" t="s">
        <v>1022</v>
      </c>
      <c r="N262" s="5">
        <f>IF($E262="","",TEXTJOIN("|",TRUE,K262:M262))</f>
      </c>
      <c r="O262" t="s">
        <v>1022</v>
      </c>
    </row>
    <row r="263" spans="1:15" x14ac:dyDescent="0.25">
      <c r="A263" t="s">
        <v>1101</v>
      </c>
      <c r="B263" t="s">
        <v>1102</v>
      </c>
      <c r="C263" t="s">
        <v>12</v>
      </c>
      <c r="D263" t="s">
        <v>7</v>
      </c>
      <c r="E263" s="4">
        <v>88</v>
      </c>
      <c r="F263" s="5">
        <f>IF($E263="","",IFERROR(INDEX(PokemonRef!$C$2:$C$494,MATCH($E263,PokemonRef!$A$2:$A$494,0)),""))</f>
      </c>
      <c r="G263" s="5">
        <f>IF($E263="","",IFERROR(INDEX(PokemonRef!$B$2:$B$494,MATCH($E263,PokemonRef!$A$2:$A$494,0)),""))</f>
      </c>
      <c r="H263" s="4">
        <v>30</v>
      </c>
      <c r="I263" s="4">
        <v>28</v>
      </c>
      <c r="J263" s="4">
        <v>30</v>
      </c>
      <c r="K263" t="s">
        <v>8</v>
      </c>
      <c r="L263" t="s">
        <v>1022</v>
      </c>
      <c r="M263" t="s">
        <v>1022</v>
      </c>
      <c r="N263" s="5">
        <f>IF($E263="","",TEXTJOIN("|",TRUE,K263:M263))</f>
      </c>
      <c r="O263" t="s">
        <v>1022</v>
      </c>
    </row>
    <row r="264" spans="1:15" x14ac:dyDescent="0.25">
      <c r="A264" t="s">
        <v>1101</v>
      </c>
      <c r="B264" t="s">
        <v>1102</v>
      </c>
      <c r="C264" t="s">
        <v>12</v>
      </c>
      <c r="D264" t="s">
        <v>7</v>
      </c>
      <c r="E264" s="4">
        <v>109</v>
      </c>
      <c r="F264" s="5">
        <f>IF($E264="","",IFERROR(INDEX(PokemonRef!$C$2:$C$494,MATCH($E264,PokemonRef!$A$2:$A$494,0)),""))</f>
      </c>
      <c r="G264" s="5">
        <f>IF($E264="","",IFERROR(INDEX(PokemonRef!$B$2:$B$494,MATCH($E264,PokemonRef!$A$2:$A$494,0)),""))</f>
      </c>
      <c r="H264" s="4">
        <v>30</v>
      </c>
      <c r="I264" s="4">
        <v>28</v>
      </c>
      <c r="J264" s="4">
        <v>30</v>
      </c>
      <c r="K264" t="s">
        <v>8</v>
      </c>
      <c r="L264" t="s">
        <v>1022</v>
      </c>
      <c r="M264" t="s">
        <v>1022</v>
      </c>
      <c r="N264" s="5">
        <f>IF($E264="","",TEXTJOIN("|",TRUE,K264:M264))</f>
      </c>
      <c r="O264" t="s">
        <v>1022</v>
      </c>
    </row>
    <row r="265" spans="1:15" x14ac:dyDescent="0.25">
      <c r="A265" t="s">
        <v>1101</v>
      </c>
      <c r="B265" t="s">
        <v>1102</v>
      </c>
      <c r="C265" t="s">
        <v>12</v>
      </c>
      <c r="D265" t="s">
        <v>7</v>
      </c>
      <c r="E265" s="4">
        <v>19</v>
      </c>
      <c r="F265" s="5">
        <f>IF($E265="","",IFERROR(INDEX(PokemonRef!$C$2:$C$494,MATCH($E265,PokemonRef!$A$2:$A$494,0)),""))</f>
      </c>
      <c r="G265" s="5">
        <f>IF($E265="","",IFERROR(INDEX(PokemonRef!$B$2:$B$494,MATCH($E265,PokemonRef!$A$2:$A$494,0)),""))</f>
      </c>
      <c r="H265" s="4">
        <v>15</v>
      </c>
      <c r="I265" s="4">
        <v>26</v>
      </c>
      <c r="J265" s="4">
        <v>28</v>
      </c>
      <c r="K265" t="s">
        <v>8</v>
      </c>
      <c r="L265" t="s">
        <v>1022</v>
      </c>
      <c r="M265" t="s">
        <v>1022</v>
      </c>
      <c r="N265" s="5">
        <f>IF($E265="","",TEXTJOIN("|",TRUE,K265:M265))</f>
      </c>
      <c r="O265" t="s">
        <v>1022</v>
      </c>
    </row>
    <row r="266" spans="1:15" x14ac:dyDescent="0.25">
      <c r="A266" t="s">
        <v>1101</v>
      </c>
      <c r="B266" t="s">
        <v>1102</v>
      </c>
      <c r="C266" t="s">
        <v>12</v>
      </c>
      <c r="D266" t="s">
        <v>7</v>
      </c>
      <c r="E266" s="4">
        <v>37</v>
      </c>
      <c r="F266" s="5">
        <f>IF($E266="","",IFERROR(INDEX(PokemonRef!$C$2:$C$494,MATCH($E266,PokemonRef!$A$2:$A$494,0)),""))</f>
      </c>
      <c r="G266" s="5">
        <f>IF($E266="","",IFERROR(INDEX(PokemonRef!$B$2:$B$494,MATCH($E266,PokemonRef!$A$2:$A$494,0)),""))</f>
      </c>
      <c r="H266" s="4">
        <v>15</v>
      </c>
      <c r="I266" s="4">
        <v>30</v>
      </c>
      <c r="J266" s="4">
        <v>32</v>
      </c>
      <c r="K266" t="s">
        <v>8</v>
      </c>
      <c r="L266" t="s">
        <v>1022</v>
      </c>
      <c r="M266" t="s">
        <v>1022</v>
      </c>
      <c r="N266" s="5">
        <f>IF($E266="","",TEXTJOIN("|",TRUE,K266:M266))</f>
      </c>
      <c r="O266" t="s">
        <v>1022</v>
      </c>
    </row>
    <row r="267" spans="1:15" x14ac:dyDescent="0.25">
      <c r="A267" t="s">
        <v>1101</v>
      </c>
      <c r="B267" t="s">
        <v>1102</v>
      </c>
      <c r="C267" t="s">
        <v>12</v>
      </c>
      <c r="D267" t="s">
        <v>7</v>
      </c>
      <c r="E267" s="4">
        <v>58</v>
      </c>
      <c r="F267" s="5">
        <f>IF($E267="","",IFERROR(INDEX(PokemonRef!$C$2:$C$494,MATCH($E267,PokemonRef!$A$2:$A$494,0)),""))</f>
      </c>
      <c r="G267" s="5">
        <f>IF($E267="","",IFERROR(INDEX(PokemonRef!$B$2:$B$494,MATCH($E267,PokemonRef!$A$2:$A$494,0)),""))</f>
      </c>
      <c r="H267" s="4">
        <v>15</v>
      </c>
      <c r="I267" s="4">
        <v>30</v>
      </c>
      <c r="J267" s="4">
        <v>32</v>
      </c>
      <c r="K267" t="s">
        <v>8</v>
      </c>
      <c r="L267" t="s">
        <v>1022</v>
      </c>
      <c r="M267" t="s">
        <v>1022</v>
      </c>
      <c r="N267" s="5">
        <f>IF($E267="","",TEXTJOIN("|",TRUE,K267:M267))</f>
      </c>
      <c r="O267" t="s">
        <v>1022</v>
      </c>
    </row>
    <row r="268" spans="1:15" x14ac:dyDescent="0.25">
      <c r="A268" t="s">
        <v>1101</v>
      </c>
      <c r="B268" t="s">
        <v>1102</v>
      </c>
      <c r="C268" t="s">
        <v>12</v>
      </c>
      <c r="D268" t="s">
        <v>7</v>
      </c>
      <c r="E268" s="4">
        <v>132</v>
      </c>
      <c r="F268" s="5">
        <f>IF($E268="","",IFERROR(INDEX(PokemonRef!$C$2:$C$494,MATCH($E268,PokemonRef!$A$2:$A$494,0)),""))</f>
      </c>
      <c r="G268" s="5">
        <f>IF($E268="","",IFERROR(INDEX(PokemonRef!$B$2:$B$494,MATCH($E268,PokemonRef!$A$2:$A$494,0)),""))</f>
      </c>
      <c r="H268" s="4">
        <v>10</v>
      </c>
      <c r="I268" s="4">
        <v>30</v>
      </c>
      <c r="J268" s="4">
        <v>30</v>
      </c>
      <c r="K268" t="s">
        <v>8</v>
      </c>
      <c r="L268" t="s">
        <v>1022</v>
      </c>
      <c r="M268" t="s">
        <v>1022</v>
      </c>
      <c r="N268" s="5">
        <f>IF($E268="","",TEXTJOIN("|",TRUE,K268:M268))</f>
      </c>
      <c r="O268" t="s">
        <v>1022</v>
      </c>
    </row>
    <row r="269" spans="1:15" x14ac:dyDescent="0.25">
      <c r="A269" t="s">
        <v>1101</v>
      </c>
      <c r="B269" t="s">
        <v>1102</v>
      </c>
      <c r="C269" t="s">
        <v>12</v>
      </c>
      <c r="D269" t="s">
        <v>7</v>
      </c>
      <c r="E269" s="4">
        <v>89</v>
      </c>
      <c r="F269" s="5">
        <f>IF($E269="","",IFERROR(INDEX(PokemonRef!$C$2:$C$494,MATCH($E269,PokemonRef!$A$2:$A$494,0)),""))</f>
      </c>
      <c r="G269" s="5">
        <f>IF($E269="","",IFERROR(INDEX(PokemonRef!$B$2:$B$494,MATCH($E269,PokemonRef!$A$2:$A$494,0)),""))</f>
      </c>
      <c r="H269" s="4">
        <v>5</v>
      </c>
      <c r="I269" s="4">
        <v>32</v>
      </c>
      <c r="J269" s="4">
        <v>34</v>
      </c>
      <c r="K269" t="s">
        <v>8</v>
      </c>
      <c r="L269" t="s">
        <v>1022</v>
      </c>
      <c r="M269" t="s">
        <v>1022</v>
      </c>
      <c r="N269" s="5">
        <f>IF($E269="","",TEXTJOIN("|",TRUE,K269:M269))</f>
      </c>
      <c r="O269" t="s">
        <v>1022</v>
      </c>
    </row>
    <row r="270" spans="1:15" x14ac:dyDescent="0.25">
      <c r="A270" t="s">
        <v>1101</v>
      </c>
      <c r="B270" t="s">
        <v>1102</v>
      </c>
      <c r="C270" t="s">
        <v>12</v>
      </c>
      <c r="D270" t="s">
        <v>7</v>
      </c>
      <c r="E270" s="4">
        <v>110</v>
      </c>
      <c r="F270" s="5">
        <f>IF($E270="","",IFERROR(INDEX(PokemonRef!$C$2:$C$494,MATCH($E270,PokemonRef!$A$2:$A$494,0)),""))</f>
      </c>
      <c r="G270" s="5">
        <f>IF($E270="","",IFERROR(INDEX(PokemonRef!$B$2:$B$494,MATCH($E270,PokemonRef!$A$2:$A$494,0)),""))</f>
      </c>
      <c r="H270" s="4">
        <v>5</v>
      </c>
      <c r="I270" s="4">
        <v>32</v>
      </c>
      <c r="J270" s="4">
        <v>34</v>
      </c>
      <c r="K270" t="s">
        <v>8</v>
      </c>
      <c r="L270" t="s">
        <v>1022</v>
      </c>
      <c r="M270" t="s">
        <v>1022</v>
      </c>
      <c r="N270" s="5">
        <f>IF($E270="","",TEXTJOIN("|",TRUE,K270:M270))</f>
      </c>
      <c r="O270" t="s">
        <v>1022</v>
      </c>
    </row>
    <row r="271" spans="1:15" x14ac:dyDescent="0.25">
      <c r="A271" t="s">
        <v>1103</v>
      </c>
      <c r="B271" t="s">
        <v>1104</v>
      </c>
      <c r="C271" t="s">
        <v>6</v>
      </c>
      <c r="D271" t="s">
        <v>7</v>
      </c>
      <c r="E271" s="4">
        <v>98</v>
      </c>
      <c r="F271" s="5">
        <f>IF($E271="","",IFERROR(INDEX(PokemonRef!$C$2:$C$494,MATCH($E271,PokemonRef!$A$2:$A$494,0)),""))</f>
      </c>
      <c r="G271" s="5">
        <f>IF($E271="","",IFERROR(INDEX(PokemonRef!$B$2:$B$494,MATCH($E271,PokemonRef!$A$2:$A$494,0)),""))</f>
      </c>
      <c r="H271" s="4">
        <v>140</v>
      </c>
      <c r="I271" s="4">
        <v>5</v>
      </c>
      <c r="J271" s="4">
        <v>25</v>
      </c>
      <c r="K271" t="s">
        <v>14</v>
      </c>
      <c r="L271" t="s">
        <v>15</v>
      </c>
      <c r="M271" t="s">
        <v>1022</v>
      </c>
      <c r="N271" s="5">
        <f>IF($E271="","",TEXTJOIN("|",TRUE,K271:M271))</f>
      </c>
      <c r="O271" t="s">
        <v>1022</v>
      </c>
    </row>
    <row r="272" spans="1:15" x14ac:dyDescent="0.25">
      <c r="A272" t="s">
        <v>1103</v>
      </c>
      <c r="B272" t="s">
        <v>1104</v>
      </c>
      <c r="C272" t="s">
        <v>6</v>
      </c>
      <c r="D272" t="s">
        <v>7</v>
      </c>
      <c r="E272" s="4">
        <v>116</v>
      </c>
      <c r="F272" s="5">
        <f>IF($E272="","",IFERROR(INDEX(PokemonRef!$C$2:$C$494,MATCH($E272,PokemonRef!$A$2:$A$494,0)),""))</f>
      </c>
      <c r="G272" s="5">
        <f>IF($E272="","",IFERROR(INDEX(PokemonRef!$B$2:$B$494,MATCH($E272,PokemonRef!$A$2:$A$494,0)),""))</f>
      </c>
      <c r="H272" s="4">
        <v>140</v>
      </c>
      <c r="I272" s="4">
        <v>5</v>
      </c>
      <c r="J272" s="4">
        <v>25</v>
      </c>
      <c r="K272" t="s">
        <v>14</v>
      </c>
      <c r="L272" t="s">
        <v>15</v>
      </c>
      <c r="M272" t="s">
        <v>1022</v>
      </c>
      <c r="N272" s="5">
        <f>IF($E272="","",TEXTJOIN("|",TRUE,K272:M272))</f>
      </c>
      <c r="O272" t="s">
        <v>1022</v>
      </c>
    </row>
    <row r="273" spans="1:15" x14ac:dyDescent="0.25">
      <c r="A273" t="s">
        <v>1103</v>
      </c>
      <c r="B273" t="s">
        <v>1104</v>
      </c>
      <c r="C273" t="s">
        <v>6</v>
      </c>
      <c r="D273" t="s">
        <v>7</v>
      </c>
      <c r="E273" s="4">
        <v>129</v>
      </c>
      <c r="F273" s="5">
        <f>IF($E273="","",IFERROR(INDEX(PokemonRef!$C$2:$C$494,MATCH($E273,PokemonRef!$A$2:$A$494,0)),""))</f>
      </c>
      <c r="G273" s="5">
        <f>IF($E273="","",IFERROR(INDEX(PokemonRef!$B$2:$B$494,MATCH($E273,PokemonRef!$A$2:$A$494,0)),""))</f>
      </c>
      <c r="H273" s="4">
        <v>120</v>
      </c>
      <c r="I273" s="4">
        <v>5</v>
      </c>
      <c r="J273" s="4">
        <v>15</v>
      </c>
      <c r="K273" t="s">
        <v>14</v>
      </c>
      <c r="L273" t="s">
        <v>13</v>
      </c>
      <c r="M273" t="s">
        <v>1022</v>
      </c>
      <c r="N273" s="5">
        <f>IF($E273="","",TEXTJOIN("|",TRUE,K273:M273))</f>
      </c>
      <c r="O273" t="s">
        <v>1022</v>
      </c>
    </row>
    <row r="274" spans="1:15" x14ac:dyDescent="0.25">
      <c r="A274" t="s">
        <v>1103</v>
      </c>
      <c r="B274" t="s">
        <v>1104</v>
      </c>
      <c r="C274" t="s">
        <v>6</v>
      </c>
      <c r="D274" t="s">
        <v>7</v>
      </c>
      <c r="E274" s="4">
        <v>72</v>
      </c>
      <c r="F274" s="5">
        <f>IF($E274="","",IFERROR(INDEX(PokemonRef!$C$2:$C$494,MATCH($E274,PokemonRef!$A$2:$A$494,0)),""))</f>
      </c>
      <c r="G274" s="5">
        <f>IF($E274="","",IFERROR(INDEX(PokemonRef!$B$2:$B$494,MATCH($E274,PokemonRef!$A$2:$A$494,0)),""))</f>
      </c>
      <c r="H274" s="4">
        <v>100</v>
      </c>
      <c r="I274" s="4">
        <v>5</v>
      </c>
      <c r="J274" s="4">
        <v>40</v>
      </c>
      <c r="K274" t="s">
        <v>11</v>
      </c>
      <c r="L274" t="s">
        <v>1022</v>
      </c>
      <c r="M274" t="s">
        <v>1022</v>
      </c>
      <c r="N274" s="5">
        <f>IF($E274="","",TEXTJOIN("|",TRUE,K274:M274))</f>
      </c>
      <c r="O274" t="s">
        <v>1022</v>
      </c>
    </row>
    <row r="275" spans="1:15" x14ac:dyDescent="0.25">
      <c r="A275" t="s">
        <v>1103</v>
      </c>
      <c r="B275" t="s">
        <v>1104</v>
      </c>
      <c r="C275" t="s">
        <v>6</v>
      </c>
      <c r="D275" t="s">
        <v>7</v>
      </c>
      <c r="E275" s="4">
        <v>114</v>
      </c>
      <c r="F275" s="5">
        <f>IF($E275="","",IFERROR(INDEX(PokemonRef!$C$2:$C$494,MATCH($E275,PokemonRef!$A$2:$A$494,0)),""))</f>
      </c>
      <c r="G275" s="5">
        <f>IF($E275="","",IFERROR(INDEX(PokemonRef!$B$2:$B$494,MATCH($E275,PokemonRef!$A$2:$A$494,0)),""))</f>
      </c>
      <c r="H275" s="4">
        <v>100</v>
      </c>
      <c r="I275" s="4">
        <v>17</v>
      </c>
      <c r="J275" s="4">
        <v>28</v>
      </c>
      <c r="K275" t="s">
        <v>8</v>
      </c>
      <c r="L275" t="s">
        <v>1022</v>
      </c>
      <c r="M275" t="s">
        <v>1022</v>
      </c>
      <c r="N275" s="5">
        <f>IF($E275="","",TEXTJOIN("|",TRUE,K275:M275))</f>
      </c>
      <c r="O275" t="s">
        <v>1022</v>
      </c>
    </row>
    <row r="276" spans="1:15" x14ac:dyDescent="0.25">
      <c r="A276" t="s">
        <v>1103</v>
      </c>
      <c r="B276" t="s">
        <v>1104</v>
      </c>
      <c r="C276" t="s">
        <v>6</v>
      </c>
      <c r="D276" t="s">
        <v>7</v>
      </c>
      <c r="E276" s="4">
        <v>130</v>
      </c>
      <c r="F276" s="5">
        <f>IF($E276="","",IFERROR(INDEX(PokemonRef!$C$2:$C$494,MATCH($E276,PokemonRef!$A$2:$A$494,0)),""))</f>
      </c>
      <c r="G276" s="5">
        <f>IF($E276="","",IFERROR(INDEX(PokemonRef!$B$2:$B$494,MATCH($E276,PokemonRef!$A$2:$A$494,0)),""))</f>
      </c>
      <c r="H276" s="4">
        <v>15</v>
      </c>
      <c r="I276" s="4">
        <v>15</v>
      </c>
      <c r="J276" s="4">
        <v>25</v>
      </c>
      <c r="K276" t="s">
        <v>15</v>
      </c>
      <c r="L276" t="s">
        <v>1022</v>
      </c>
      <c r="M276" t="s">
        <v>1022</v>
      </c>
      <c r="N276" s="5">
        <f>IF($E276="","",TEXTJOIN("|",TRUE,K276:M276))</f>
      </c>
      <c r="O276" t="s">
        <v>1022</v>
      </c>
    </row>
    <row r="277" spans="1:15" x14ac:dyDescent="0.25">
      <c r="A277" t="s">
        <v>1103</v>
      </c>
      <c r="B277" t="s">
        <v>1104</v>
      </c>
      <c r="C277" t="s">
        <v>6</v>
      </c>
      <c r="D277" t="s">
        <v>7</v>
      </c>
      <c r="E277" s="4">
        <v>99</v>
      </c>
      <c r="F277" s="5">
        <f>IF($E277="","",IFERROR(INDEX(PokemonRef!$C$2:$C$494,MATCH($E277,PokemonRef!$A$2:$A$494,0)),""))</f>
      </c>
      <c r="G277" s="5">
        <f>IF($E277="","",IFERROR(INDEX(PokemonRef!$B$2:$B$494,MATCH($E277,PokemonRef!$A$2:$A$494,0)),""))</f>
      </c>
      <c r="H277" s="4">
        <v>4</v>
      </c>
      <c r="I277" s="4">
        <v>25</v>
      </c>
      <c r="J277" s="4">
        <v>35</v>
      </c>
      <c r="K277" t="s">
        <v>15</v>
      </c>
      <c r="L277" t="s">
        <v>1022</v>
      </c>
      <c r="M277" t="s">
        <v>1022</v>
      </c>
      <c r="N277" s="5">
        <f>IF($E277="","",TEXTJOIN("|",TRUE,K277:M277))</f>
      </c>
      <c r="O277" t="s">
        <v>1022</v>
      </c>
    </row>
    <row r="278" spans="1:15" x14ac:dyDescent="0.25">
      <c r="A278" t="s">
        <v>1103</v>
      </c>
      <c r="B278" t="s">
        <v>1104</v>
      </c>
      <c r="C278" t="s">
        <v>6</v>
      </c>
      <c r="D278" t="s">
        <v>7</v>
      </c>
      <c r="E278" s="4">
        <v>117</v>
      </c>
      <c r="F278" s="5">
        <f>IF($E278="","",IFERROR(INDEX(PokemonRef!$C$2:$C$494,MATCH($E278,PokemonRef!$A$2:$A$494,0)),""))</f>
      </c>
      <c r="G278" s="5">
        <f>IF($E278="","",IFERROR(INDEX(PokemonRef!$B$2:$B$494,MATCH($E278,PokemonRef!$A$2:$A$494,0)),""))</f>
      </c>
      <c r="H278" s="4">
        <v>4</v>
      </c>
      <c r="I278" s="4">
        <v>25</v>
      </c>
      <c r="J278" s="4">
        <v>35</v>
      </c>
      <c r="K278" t="s">
        <v>15</v>
      </c>
      <c r="L278" t="s">
        <v>1022</v>
      </c>
      <c r="M278" t="s">
        <v>1022</v>
      </c>
      <c r="N278" s="5">
        <f>IF($E278="","",TEXTJOIN("|",TRUE,K278:M278))</f>
      </c>
      <c r="O278" t="s">
        <v>1022</v>
      </c>
    </row>
    <row r="279" spans="1:15" x14ac:dyDescent="0.25">
      <c r="A279" t="s">
        <v>1103</v>
      </c>
      <c r="B279" t="s">
        <v>1104</v>
      </c>
      <c r="C279" t="s">
        <v>6</v>
      </c>
      <c r="D279" t="s">
        <v>7</v>
      </c>
      <c r="E279" s="4">
        <v>54</v>
      </c>
      <c r="F279" s="5">
        <f>IF($E279="","",IFERROR(INDEX(PokemonRef!$C$2:$C$494,MATCH($E279,PokemonRef!$A$2:$A$494,0)),""))</f>
      </c>
      <c r="G279" s="5">
        <f>IF($E279="","",IFERROR(INDEX(PokemonRef!$B$2:$B$494,MATCH($E279,PokemonRef!$A$2:$A$494,0)),""))</f>
      </c>
      <c r="H279" s="4">
        <v>1</v>
      </c>
      <c r="I279" s="4">
        <v>25</v>
      </c>
      <c r="J279" s="4">
        <v>35</v>
      </c>
      <c r="K279" t="s">
        <v>15</v>
      </c>
      <c r="L279" t="s">
        <v>1022</v>
      </c>
      <c r="M279" t="s">
        <v>1022</v>
      </c>
      <c r="N279" s="5">
        <f>IF($E279="","",TEXTJOIN("|",TRUE,K279:M279))</f>
      </c>
      <c r="O279" t="s">
        <v>1022</v>
      </c>
    </row>
    <row r="280" spans="1:15" x14ac:dyDescent="0.25">
      <c r="A280" t="s">
        <v>1103</v>
      </c>
      <c r="B280" t="s">
        <v>1104</v>
      </c>
      <c r="C280" t="s">
        <v>6</v>
      </c>
      <c r="D280" t="s">
        <v>7</v>
      </c>
      <c r="E280" s="4">
        <v>79</v>
      </c>
      <c r="F280" s="5">
        <f>IF($E280="","",IFERROR(INDEX(PokemonRef!$C$2:$C$494,MATCH($E280,PokemonRef!$A$2:$A$494,0)),""))</f>
      </c>
      <c r="G280" s="5">
        <f>IF($E280="","",IFERROR(INDEX(PokemonRef!$B$2:$B$494,MATCH($E280,PokemonRef!$A$2:$A$494,0)),""))</f>
      </c>
      <c r="H280" s="4">
        <v>1</v>
      </c>
      <c r="I280" s="4">
        <v>25</v>
      </c>
      <c r="J280" s="4">
        <v>35</v>
      </c>
      <c r="K280" t="s">
        <v>15</v>
      </c>
      <c r="L280" t="s">
        <v>1022</v>
      </c>
      <c r="M280" t="s">
        <v>1022</v>
      </c>
      <c r="N280" s="5">
        <f>IF($E280="","",TEXTJOIN("|",TRUE,K280:M280))</f>
      </c>
      <c r="O280" t="s">
        <v>1022</v>
      </c>
    </row>
    <row r="281" spans="1:15" x14ac:dyDescent="0.25">
      <c r="A281" t="s">
        <v>1105</v>
      </c>
      <c r="B281" t="s">
        <v>1106</v>
      </c>
      <c r="C281" t="s">
        <v>6</v>
      </c>
      <c r="D281" t="s">
        <v>7</v>
      </c>
      <c r="E281" s="4">
        <v>129</v>
      </c>
      <c r="F281" s="5">
        <f>IF($E281="","",IFERROR(INDEX(PokemonRef!$C$2:$C$494,MATCH($E281,PokemonRef!$A$2:$A$494,0)),""))</f>
      </c>
      <c r="G281" s="5">
        <f>IF($E281="","",IFERROR(INDEX(PokemonRef!$B$2:$B$494,MATCH($E281,PokemonRef!$A$2:$A$494,0)),""))</f>
      </c>
      <c r="H281" s="4">
        <v>120</v>
      </c>
      <c r="I281" s="4">
        <v>5</v>
      </c>
      <c r="J281" s="4">
        <v>15</v>
      </c>
      <c r="K281" t="s">
        <v>14</v>
      </c>
      <c r="L281" t="s">
        <v>13</v>
      </c>
      <c r="M281" t="s">
        <v>1022</v>
      </c>
      <c r="N281" s="5">
        <f>IF($E281="","",TEXTJOIN("|",TRUE,K281:M281))</f>
      </c>
      <c r="O281" t="s">
        <v>1022</v>
      </c>
    </row>
    <row r="282" spans="1:15" x14ac:dyDescent="0.25">
      <c r="A282" t="s">
        <v>1105</v>
      </c>
      <c r="B282" t="s">
        <v>1106</v>
      </c>
      <c r="C282" t="s">
        <v>6</v>
      </c>
      <c r="D282" t="s">
        <v>7</v>
      </c>
      <c r="E282" s="4">
        <v>54</v>
      </c>
      <c r="F282" s="5">
        <f>IF($E282="","",IFERROR(INDEX(PokemonRef!$C$2:$C$494,MATCH($E282,PokemonRef!$A$2:$A$494,0)),""))</f>
      </c>
      <c r="G282" s="5">
        <f>IF($E282="","",IFERROR(INDEX(PokemonRef!$B$2:$B$494,MATCH($E282,PokemonRef!$A$2:$A$494,0)),""))</f>
      </c>
      <c r="H282" s="4">
        <v>105</v>
      </c>
      <c r="I282" s="4">
        <v>15</v>
      </c>
      <c r="J282" s="4">
        <v>40</v>
      </c>
      <c r="K282" t="s">
        <v>15</v>
      </c>
      <c r="L282" t="s">
        <v>11</v>
      </c>
      <c r="M282" t="s">
        <v>1022</v>
      </c>
      <c r="N282" s="5">
        <f>IF($E282="","",TEXTJOIN("|",TRUE,K282:M282))</f>
      </c>
      <c r="O282" t="s">
        <v>1022</v>
      </c>
    </row>
    <row r="283" spans="1:15" x14ac:dyDescent="0.25">
      <c r="A283" t="s">
        <v>1105</v>
      </c>
      <c r="B283" t="s">
        <v>1106</v>
      </c>
      <c r="C283" t="s">
        <v>6</v>
      </c>
      <c r="D283" t="s">
        <v>7</v>
      </c>
      <c r="E283" s="4">
        <v>79</v>
      </c>
      <c r="F283" s="5">
        <f>IF($E283="","",IFERROR(INDEX(PokemonRef!$C$2:$C$494,MATCH($E283,PokemonRef!$A$2:$A$494,0)),""))</f>
      </c>
      <c r="G283" s="5">
        <f>IF($E283="","",IFERROR(INDEX(PokemonRef!$B$2:$B$494,MATCH($E283,PokemonRef!$A$2:$A$494,0)),""))</f>
      </c>
      <c r="H283" s="4">
        <v>105</v>
      </c>
      <c r="I283" s="4">
        <v>15</v>
      </c>
      <c r="J283" s="4">
        <v>40</v>
      </c>
      <c r="K283" t="s">
        <v>15</v>
      </c>
      <c r="L283" t="s">
        <v>11</v>
      </c>
      <c r="M283" t="s">
        <v>1022</v>
      </c>
      <c r="N283" s="5">
        <f>IF($E283="","",TEXTJOIN("|",TRUE,K283:M283))</f>
      </c>
      <c r="O283" t="s">
        <v>1022</v>
      </c>
    </row>
    <row r="284" spans="1:15" x14ac:dyDescent="0.25">
      <c r="A284" t="s">
        <v>1105</v>
      </c>
      <c r="B284" t="s">
        <v>1106</v>
      </c>
      <c r="C284" t="s">
        <v>6</v>
      </c>
      <c r="D284" t="s">
        <v>7</v>
      </c>
      <c r="E284" s="4">
        <v>60</v>
      </c>
      <c r="F284" s="5">
        <f>IF($E284="","",IFERROR(INDEX(PokemonRef!$C$2:$C$494,MATCH($E284,PokemonRef!$A$2:$A$494,0)),""))</f>
      </c>
      <c r="G284" s="5">
        <f>IF($E284="","",IFERROR(INDEX(PokemonRef!$B$2:$B$494,MATCH($E284,PokemonRef!$A$2:$A$494,0)),""))</f>
      </c>
      <c r="H284" s="4">
        <v>100</v>
      </c>
      <c r="I284" s="4">
        <v>5</v>
      </c>
      <c r="J284" s="4">
        <v>25</v>
      </c>
      <c r="K284" t="s">
        <v>14</v>
      </c>
      <c r="L284" t="s">
        <v>15</v>
      </c>
      <c r="M284" t="s">
        <v>1022</v>
      </c>
      <c r="N284" s="5">
        <f>IF($E284="","",TEXTJOIN("|",TRUE,K284:M284))</f>
      </c>
      <c r="O284" t="s">
        <v>1022</v>
      </c>
    </row>
    <row r="285" spans="1:15" x14ac:dyDescent="0.25">
      <c r="A285" t="s">
        <v>1105</v>
      </c>
      <c r="B285" t="s">
        <v>1106</v>
      </c>
      <c r="C285" t="s">
        <v>6</v>
      </c>
      <c r="D285" t="s">
        <v>7</v>
      </c>
      <c r="E285" s="4">
        <v>19</v>
      </c>
      <c r="F285" s="5">
        <f>IF($E285="","",IFERROR(INDEX(PokemonRef!$C$2:$C$494,MATCH($E285,PokemonRef!$A$2:$A$494,0)),""))</f>
      </c>
      <c r="G285" s="5">
        <f>IF($E285="","",IFERROR(INDEX(PokemonRef!$B$2:$B$494,MATCH($E285,PokemonRef!$A$2:$A$494,0)),""))</f>
      </c>
      <c r="H285" s="4">
        <v>45</v>
      </c>
      <c r="I285" s="4">
        <v>2</v>
      </c>
      <c r="J285" s="4">
        <v>5</v>
      </c>
      <c r="K285" t="s">
        <v>8</v>
      </c>
      <c r="L285" t="s">
        <v>1022</v>
      </c>
      <c r="M285" t="s">
        <v>1022</v>
      </c>
      <c r="N285" s="5">
        <f>IF($E285="","",TEXTJOIN("|",TRUE,K285:M285))</f>
      </c>
      <c r="O285" t="s">
        <v>1022</v>
      </c>
    </row>
    <row r="286" spans="1:15" x14ac:dyDescent="0.25">
      <c r="A286" t="s">
        <v>1105</v>
      </c>
      <c r="B286" t="s">
        <v>1106</v>
      </c>
      <c r="C286" t="s">
        <v>6</v>
      </c>
      <c r="D286" t="s">
        <v>7</v>
      </c>
      <c r="E286" s="4">
        <v>56</v>
      </c>
      <c r="F286" s="5">
        <f>IF($E286="","",IFERROR(INDEX(PokemonRef!$C$2:$C$494,MATCH($E286,PokemonRef!$A$2:$A$494,0)),""))</f>
      </c>
      <c r="G286" s="5">
        <f>IF($E286="","",IFERROR(INDEX(PokemonRef!$B$2:$B$494,MATCH($E286,PokemonRef!$A$2:$A$494,0)),""))</f>
      </c>
      <c r="H286" s="4">
        <v>45</v>
      </c>
      <c r="I286" s="4">
        <v>2</v>
      </c>
      <c r="J286" s="4">
        <v>5</v>
      </c>
      <c r="K286" t="s">
        <v>8</v>
      </c>
      <c r="L286" t="s">
        <v>1022</v>
      </c>
      <c r="M286" t="s">
        <v>1022</v>
      </c>
      <c r="N286" s="5">
        <f>IF($E286="","",TEXTJOIN("|",TRUE,K286:M286))</f>
      </c>
      <c r="O286" t="s">
        <v>1022</v>
      </c>
    </row>
    <row r="287" spans="1:15" x14ac:dyDescent="0.25">
      <c r="A287" t="s">
        <v>1105</v>
      </c>
      <c r="B287" t="s">
        <v>1106</v>
      </c>
      <c r="C287" t="s">
        <v>6</v>
      </c>
      <c r="D287" t="s">
        <v>7</v>
      </c>
      <c r="E287" s="4">
        <v>61</v>
      </c>
      <c r="F287" s="5">
        <f>IF($E287="","",IFERROR(INDEX(PokemonRef!$C$2:$C$494,MATCH($E287,PokemonRef!$A$2:$A$494,0)),""))</f>
      </c>
      <c r="G287" s="5">
        <f>IF($E287="","",IFERROR(INDEX(PokemonRef!$B$2:$B$494,MATCH($E287,PokemonRef!$A$2:$A$494,0)),""))</f>
      </c>
      <c r="H287" s="4">
        <v>40</v>
      </c>
      <c r="I287" s="4">
        <v>20</v>
      </c>
      <c r="J287" s="4">
        <v>30</v>
      </c>
      <c r="K287" t="s">
        <v>15</v>
      </c>
      <c r="L287" t="s">
        <v>1022</v>
      </c>
      <c r="M287" t="s">
        <v>1022</v>
      </c>
      <c r="N287" s="5">
        <f>IF($E287="","",TEXTJOIN("|",TRUE,K287:M287))</f>
      </c>
      <c r="O287" t="s">
        <v>1022</v>
      </c>
    </row>
    <row r="288" spans="1:15" x14ac:dyDescent="0.25">
      <c r="A288" t="s">
        <v>1105</v>
      </c>
      <c r="B288" t="s">
        <v>1106</v>
      </c>
      <c r="C288" t="s">
        <v>6</v>
      </c>
      <c r="D288" t="s">
        <v>7</v>
      </c>
      <c r="E288" s="4">
        <v>118</v>
      </c>
      <c r="F288" s="5">
        <f>IF($E288="","",IFERROR(INDEX(PokemonRef!$C$2:$C$494,MATCH($E288,PokemonRef!$A$2:$A$494,0)),""))</f>
      </c>
      <c r="G288" s="5">
        <f>IF($E288="","",IFERROR(INDEX(PokemonRef!$B$2:$B$494,MATCH($E288,PokemonRef!$A$2:$A$494,0)),""))</f>
      </c>
      <c r="H288" s="4">
        <v>20</v>
      </c>
      <c r="I288" s="4">
        <v>5</v>
      </c>
      <c r="J288" s="4">
        <v>15</v>
      </c>
      <c r="K288" t="s">
        <v>14</v>
      </c>
      <c r="L288" t="s">
        <v>1022</v>
      </c>
      <c r="M288" t="s">
        <v>1022</v>
      </c>
      <c r="N288" s="5">
        <f>IF($E288="","",TEXTJOIN("|",TRUE,K288:M288))</f>
      </c>
      <c r="O288" t="s">
        <v>1022</v>
      </c>
    </row>
    <row r="289" spans="1:15" x14ac:dyDescent="0.25">
      <c r="A289" t="s">
        <v>1105</v>
      </c>
      <c r="B289" t="s">
        <v>1106</v>
      </c>
      <c r="C289" t="s">
        <v>6</v>
      </c>
      <c r="D289" t="s">
        <v>7</v>
      </c>
      <c r="E289" s="4">
        <v>130</v>
      </c>
      <c r="F289" s="5">
        <f>IF($E289="","",IFERROR(INDEX(PokemonRef!$C$2:$C$494,MATCH($E289,PokemonRef!$A$2:$A$494,0)),""))</f>
      </c>
      <c r="G289" s="5">
        <f>IF($E289="","",IFERROR(INDEX(PokemonRef!$B$2:$B$494,MATCH($E289,PokemonRef!$A$2:$A$494,0)),""))</f>
      </c>
      <c r="H289" s="4">
        <v>15</v>
      </c>
      <c r="I289" s="4">
        <v>15</v>
      </c>
      <c r="J289" s="4">
        <v>25</v>
      </c>
      <c r="K289" t="s">
        <v>15</v>
      </c>
      <c r="L289" t="s">
        <v>1022</v>
      </c>
      <c r="M289" t="s">
        <v>1022</v>
      </c>
      <c r="N289" s="5">
        <f>IF($E289="","",TEXTJOIN("|",TRUE,K289:M289))</f>
      </c>
      <c r="O289" t="s">
        <v>1022</v>
      </c>
    </row>
    <row r="290" spans="1:15" x14ac:dyDescent="0.25">
      <c r="A290" t="s">
        <v>1105</v>
      </c>
      <c r="B290" t="s">
        <v>1106</v>
      </c>
      <c r="C290" t="s">
        <v>6</v>
      </c>
      <c r="D290" t="s">
        <v>7</v>
      </c>
      <c r="E290" s="4">
        <v>21</v>
      </c>
      <c r="F290" s="5">
        <f>IF($E290="","",IFERROR(INDEX(PokemonRef!$C$2:$C$494,MATCH($E290,PokemonRef!$A$2:$A$494,0)),""))</f>
      </c>
      <c r="G290" s="5">
        <f>IF($E290="","",IFERROR(INDEX(PokemonRef!$B$2:$B$494,MATCH($E290,PokemonRef!$A$2:$A$494,0)),""))</f>
      </c>
      <c r="H290" s="4">
        <v>10</v>
      </c>
      <c r="I290" s="4">
        <v>3</v>
      </c>
      <c r="J290" s="4">
        <v>5</v>
      </c>
      <c r="K290" t="s">
        <v>8</v>
      </c>
      <c r="L290" t="s">
        <v>1022</v>
      </c>
      <c r="M290" t="s">
        <v>1022</v>
      </c>
      <c r="N290" s="5">
        <f>IF($E290="","",TEXTJOIN("|",TRUE,K290:M290))</f>
      </c>
      <c r="O290" t="s">
        <v>1022</v>
      </c>
    </row>
    <row r="291" spans="1:15" x14ac:dyDescent="0.25">
      <c r="A291" t="s">
        <v>1107</v>
      </c>
      <c r="B291" t="s">
        <v>1108</v>
      </c>
      <c r="C291" t="s">
        <v>6</v>
      </c>
      <c r="D291" t="s">
        <v>7</v>
      </c>
      <c r="E291" s="4">
        <v>129</v>
      </c>
      <c r="F291" s="5">
        <f>IF($E291="","",IFERROR(INDEX(PokemonRef!$C$2:$C$494,MATCH($E291,PokemonRef!$A$2:$A$494,0)),""))</f>
      </c>
      <c r="G291" s="5">
        <f>IF($E291="","",IFERROR(INDEX(PokemonRef!$B$2:$B$494,MATCH($E291,PokemonRef!$A$2:$A$494,0)),""))</f>
      </c>
      <c r="H291" s="4">
        <v>120</v>
      </c>
      <c r="I291" s="4">
        <v>5</v>
      </c>
      <c r="J291" s="4">
        <v>15</v>
      </c>
      <c r="K291" t="s">
        <v>14</v>
      </c>
      <c r="L291" t="s">
        <v>13</v>
      </c>
      <c r="M291" t="s">
        <v>1022</v>
      </c>
      <c r="N291" s="5">
        <f>IF($E291="","",TEXTJOIN("|",TRUE,K291:M291))</f>
      </c>
      <c r="O291" t="s">
        <v>1022</v>
      </c>
    </row>
    <row r="292" spans="1:15" x14ac:dyDescent="0.25">
      <c r="A292" t="s">
        <v>1107</v>
      </c>
      <c r="B292" t="s">
        <v>1108</v>
      </c>
      <c r="C292" t="s">
        <v>6</v>
      </c>
      <c r="D292" t="s">
        <v>7</v>
      </c>
      <c r="E292" s="4">
        <v>54</v>
      </c>
      <c r="F292" s="5">
        <f>IF($E292="","",IFERROR(INDEX(PokemonRef!$C$2:$C$494,MATCH($E292,PokemonRef!$A$2:$A$494,0)),""))</f>
      </c>
      <c r="G292" s="5">
        <f>IF($E292="","",IFERROR(INDEX(PokemonRef!$B$2:$B$494,MATCH($E292,PokemonRef!$A$2:$A$494,0)),""))</f>
      </c>
      <c r="H292" s="4">
        <v>105</v>
      </c>
      <c r="I292" s="4">
        <v>15</v>
      </c>
      <c r="J292" s="4">
        <v>40</v>
      </c>
      <c r="K292" t="s">
        <v>15</v>
      </c>
      <c r="L292" t="s">
        <v>11</v>
      </c>
      <c r="M292" t="s">
        <v>1022</v>
      </c>
      <c r="N292" s="5">
        <f>IF($E292="","",TEXTJOIN("|",TRUE,K292:M292))</f>
      </c>
      <c r="O292" t="s">
        <v>1022</v>
      </c>
    </row>
    <row r="293" spans="1:15" x14ac:dyDescent="0.25">
      <c r="A293" t="s">
        <v>1107</v>
      </c>
      <c r="B293" t="s">
        <v>1108</v>
      </c>
      <c r="C293" t="s">
        <v>6</v>
      </c>
      <c r="D293" t="s">
        <v>7</v>
      </c>
      <c r="E293" s="4">
        <v>79</v>
      </c>
      <c r="F293" s="5">
        <f>IF($E293="","",IFERROR(INDEX(PokemonRef!$C$2:$C$494,MATCH($E293,PokemonRef!$A$2:$A$494,0)),""))</f>
      </c>
      <c r="G293" s="5">
        <f>IF($E293="","",IFERROR(INDEX(PokemonRef!$B$2:$B$494,MATCH($E293,PokemonRef!$A$2:$A$494,0)),""))</f>
      </c>
      <c r="H293" s="4">
        <v>105</v>
      </c>
      <c r="I293" s="4">
        <v>15</v>
      </c>
      <c r="J293" s="4">
        <v>40</v>
      </c>
      <c r="K293" t="s">
        <v>15</v>
      </c>
      <c r="L293" t="s">
        <v>11</v>
      </c>
      <c r="M293" t="s">
        <v>1022</v>
      </c>
      <c r="N293" s="5">
        <f>IF($E293="","",TEXTJOIN("|",TRUE,K293:M293))</f>
      </c>
      <c r="O293" t="s">
        <v>1022</v>
      </c>
    </row>
    <row r="294" spans="1:15" x14ac:dyDescent="0.25">
      <c r="A294" t="s">
        <v>1107</v>
      </c>
      <c r="B294" t="s">
        <v>1108</v>
      </c>
      <c r="C294" t="s">
        <v>6</v>
      </c>
      <c r="D294" t="s">
        <v>7</v>
      </c>
      <c r="E294" s="4">
        <v>60</v>
      </c>
      <c r="F294" s="5">
        <f>IF($E294="","",IFERROR(INDEX(PokemonRef!$C$2:$C$494,MATCH($E294,PokemonRef!$A$2:$A$494,0)),""))</f>
      </c>
      <c r="G294" s="5">
        <f>IF($E294="","",IFERROR(INDEX(PokemonRef!$B$2:$B$494,MATCH($E294,PokemonRef!$A$2:$A$494,0)),""))</f>
      </c>
      <c r="H294" s="4">
        <v>100</v>
      </c>
      <c r="I294" s="4">
        <v>5</v>
      </c>
      <c r="J294" s="4">
        <v>25</v>
      </c>
      <c r="K294" t="s">
        <v>14</v>
      </c>
      <c r="L294" t="s">
        <v>15</v>
      </c>
      <c r="M294" t="s">
        <v>1022</v>
      </c>
      <c r="N294" s="5">
        <f>IF($E294="","",TEXTJOIN("|",TRUE,K294:M294))</f>
      </c>
      <c r="O294" t="s">
        <v>1022</v>
      </c>
    </row>
    <row r="295" spans="1:15" x14ac:dyDescent="0.25">
      <c r="A295" t="s">
        <v>1107</v>
      </c>
      <c r="B295" t="s">
        <v>1108</v>
      </c>
      <c r="C295" t="s">
        <v>6</v>
      </c>
      <c r="D295" t="s">
        <v>7</v>
      </c>
      <c r="E295" s="4">
        <v>61</v>
      </c>
      <c r="F295" s="5">
        <f>IF($E295="","",IFERROR(INDEX(PokemonRef!$C$2:$C$494,MATCH($E295,PokemonRef!$A$2:$A$494,0)),""))</f>
      </c>
      <c r="G295" s="5">
        <f>IF($E295="","",IFERROR(INDEX(PokemonRef!$B$2:$B$494,MATCH($E295,PokemonRef!$A$2:$A$494,0)),""))</f>
      </c>
      <c r="H295" s="4">
        <v>40</v>
      </c>
      <c r="I295" s="4">
        <v>20</v>
      </c>
      <c r="J295" s="4">
        <v>30</v>
      </c>
      <c r="K295" t="s">
        <v>15</v>
      </c>
      <c r="L295" t="s">
        <v>1022</v>
      </c>
      <c r="M295" t="s">
        <v>1022</v>
      </c>
      <c r="N295" s="5">
        <f>IF($E295="","",TEXTJOIN("|",TRUE,K295:M295))</f>
      </c>
      <c r="O295" t="s">
        <v>1022</v>
      </c>
    </row>
    <row r="296" spans="1:15" x14ac:dyDescent="0.25">
      <c r="A296" t="s">
        <v>1107</v>
      </c>
      <c r="B296" t="s">
        <v>1108</v>
      </c>
      <c r="C296" t="s">
        <v>6</v>
      </c>
      <c r="D296" t="s">
        <v>7</v>
      </c>
      <c r="E296" s="4">
        <v>56</v>
      </c>
      <c r="F296" s="5">
        <f>IF($E296="","",IFERROR(INDEX(PokemonRef!$C$2:$C$494,MATCH($E296,PokemonRef!$A$2:$A$494,0)),""))</f>
      </c>
      <c r="G296" s="5">
        <f>IF($E296="","",IFERROR(INDEX(PokemonRef!$B$2:$B$494,MATCH($E296,PokemonRef!$A$2:$A$494,0)),""))</f>
      </c>
      <c r="H296" s="4">
        <v>30</v>
      </c>
      <c r="I296" s="4">
        <v>32</v>
      </c>
      <c r="J296" s="4">
        <v>34</v>
      </c>
      <c r="K296" t="s">
        <v>8</v>
      </c>
      <c r="L296" t="s">
        <v>1022</v>
      </c>
      <c r="M296" t="s">
        <v>1022</v>
      </c>
      <c r="N296" s="5">
        <f>IF($E296="","",TEXTJOIN("|",TRUE,K296:M296))</f>
      </c>
      <c r="O296" t="s">
        <v>1022</v>
      </c>
    </row>
    <row r="297" spans="1:15" x14ac:dyDescent="0.25">
      <c r="A297" t="s">
        <v>1107</v>
      </c>
      <c r="B297" t="s">
        <v>1108</v>
      </c>
      <c r="C297" t="s">
        <v>6</v>
      </c>
      <c r="D297" t="s">
        <v>7</v>
      </c>
      <c r="E297" s="4">
        <v>22</v>
      </c>
      <c r="F297" s="5">
        <f>IF($E297="","",IFERROR(INDEX(PokemonRef!$C$2:$C$494,MATCH($E297,PokemonRef!$A$2:$A$494,0)),""))</f>
      </c>
      <c r="G297" s="5">
        <f>IF($E297="","",IFERROR(INDEX(PokemonRef!$B$2:$B$494,MATCH($E297,PokemonRef!$A$2:$A$494,0)),""))</f>
      </c>
      <c r="H297" s="4">
        <v>25</v>
      </c>
      <c r="I297" s="4">
        <v>40</v>
      </c>
      <c r="J297" s="4">
        <v>44</v>
      </c>
      <c r="K297" t="s">
        <v>8</v>
      </c>
      <c r="L297" t="s">
        <v>1022</v>
      </c>
      <c r="M297" t="s">
        <v>1022</v>
      </c>
      <c r="N297" s="5">
        <f>IF($E297="","",TEXTJOIN("|",TRUE,K297:M297))</f>
      </c>
      <c r="O297" t="s">
        <v>1022</v>
      </c>
    </row>
    <row r="298" spans="1:15" x14ac:dyDescent="0.25">
      <c r="A298" t="s">
        <v>1107</v>
      </c>
      <c r="B298" t="s">
        <v>1108</v>
      </c>
      <c r="C298" t="s">
        <v>6</v>
      </c>
      <c r="D298" t="s">
        <v>7</v>
      </c>
      <c r="E298" s="4">
        <v>23</v>
      </c>
      <c r="F298" s="5">
        <f>IF($E298="","",IFERROR(INDEX(PokemonRef!$C$2:$C$494,MATCH($E298,PokemonRef!$A$2:$A$494,0)),""))</f>
      </c>
      <c r="G298" s="5">
        <f>IF($E298="","",IFERROR(INDEX(PokemonRef!$B$2:$B$494,MATCH($E298,PokemonRef!$A$2:$A$494,0)),""))</f>
      </c>
      <c r="H298" s="4">
        <v>20</v>
      </c>
      <c r="I298" s="4">
        <v>32</v>
      </c>
      <c r="J298" s="4">
        <v>34</v>
      </c>
      <c r="K298" t="s">
        <v>8</v>
      </c>
      <c r="L298" t="s">
        <v>1022</v>
      </c>
      <c r="M298" t="s">
        <v>1022</v>
      </c>
      <c r="N298" s="5">
        <f>IF($E298="","",TEXTJOIN("|",TRUE,K298:M298))</f>
      </c>
      <c r="O298" t="s">
        <v>1022</v>
      </c>
    </row>
    <row r="299" spans="1:15" x14ac:dyDescent="0.25">
      <c r="A299" t="s">
        <v>1107</v>
      </c>
      <c r="B299" t="s">
        <v>1108</v>
      </c>
      <c r="C299" t="s">
        <v>6</v>
      </c>
      <c r="D299" t="s">
        <v>7</v>
      </c>
      <c r="E299" s="4">
        <v>27</v>
      </c>
      <c r="F299" s="5">
        <f>IF($E299="","",IFERROR(INDEX(PokemonRef!$C$2:$C$494,MATCH($E299,PokemonRef!$A$2:$A$494,0)),""))</f>
      </c>
      <c r="G299" s="5">
        <f>IF($E299="","",IFERROR(INDEX(PokemonRef!$B$2:$B$494,MATCH($E299,PokemonRef!$A$2:$A$494,0)),""))</f>
      </c>
      <c r="H299" s="4">
        <v>20</v>
      </c>
      <c r="I299" s="4">
        <v>32</v>
      </c>
      <c r="J299" s="4">
        <v>34</v>
      </c>
      <c r="K299" t="s">
        <v>8</v>
      </c>
      <c r="L299" t="s">
        <v>1022</v>
      </c>
      <c r="M299" t="s">
        <v>1022</v>
      </c>
      <c r="N299" s="5">
        <f>IF($E299="","",TEXTJOIN("|",TRUE,K299:M299))</f>
      </c>
      <c r="O299" t="s">
        <v>1022</v>
      </c>
    </row>
    <row r="300" spans="1:15" x14ac:dyDescent="0.25">
      <c r="A300" t="s">
        <v>1107</v>
      </c>
      <c r="B300" t="s">
        <v>1108</v>
      </c>
      <c r="C300" t="s">
        <v>6</v>
      </c>
      <c r="D300" t="s">
        <v>7</v>
      </c>
      <c r="E300" s="4">
        <v>118</v>
      </c>
      <c r="F300" s="5">
        <f>IF($E300="","",IFERROR(INDEX(PokemonRef!$C$2:$C$494,MATCH($E300,PokemonRef!$A$2:$A$494,0)),""))</f>
      </c>
      <c r="G300" s="5">
        <f>IF($E300="","",IFERROR(INDEX(PokemonRef!$B$2:$B$494,MATCH($E300,PokemonRef!$A$2:$A$494,0)),""))</f>
      </c>
      <c r="H300" s="4">
        <v>20</v>
      </c>
      <c r="I300" s="4">
        <v>5</v>
      </c>
      <c r="J300" s="4">
        <v>15</v>
      </c>
      <c r="K300" t="s">
        <v>14</v>
      </c>
      <c r="L300" t="s">
        <v>1022</v>
      </c>
      <c r="M300" t="s">
        <v>1022</v>
      </c>
      <c r="N300" s="5">
        <f>IF($E300="","",TEXTJOIN("|",TRUE,K300:M300))</f>
      </c>
      <c r="O300" t="s">
        <v>1022</v>
      </c>
    </row>
    <row r="301" spans="1:15" x14ac:dyDescent="0.25">
      <c r="A301" t="s">
        <v>1107</v>
      </c>
      <c r="B301" t="s">
        <v>1108</v>
      </c>
      <c r="C301" t="s">
        <v>6</v>
      </c>
      <c r="D301" t="s">
        <v>7</v>
      </c>
      <c r="E301" s="4">
        <v>21</v>
      </c>
      <c r="F301" s="5">
        <f>IF($E301="","",IFERROR(INDEX(PokemonRef!$C$2:$C$494,MATCH($E301,PokemonRef!$A$2:$A$494,0)),""))</f>
      </c>
      <c r="G301" s="5">
        <f>IF($E301="","",IFERROR(INDEX(PokemonRef!$B$2:$B$494,MATCH($E301,PokemonRef!$A$2:$A$494,0)),""))</f>
      </c>
      <c r="H301" s="4">
        <v>15</v>
      </c>
      <c r="I301" s="4">
        <v>32</v>
      </c>
      <c r="J301" s="4">
        <v>34</v>
      </c>
      <c r="K301" t="s">
        <v>8</v>
      </c>
      <c r="L301" t="s">
        <v>1022</v>
      </c>
      <c r="M301" t="s">
        <v>1022</v>
      </c>
      <c r="N301" s="5">
        <f>IF($E301="","",TEXTJOIN("|",TRUE,K301:M301))</f>
      </c>
      <c r="O301" t="s">
        <v>1022</v>
      </c>
    </row>
    <row r="302" spans="1:15" x14ac:dyDescent="0.25">
      <c r="A302" t="s">
        <v>1107</v>
      </c>
      <c r="B302" t="s">
        <v>1108</v>
      </c>
      <c r="C302" t="s">
        <v>6</v>
      </c>
      <c r="D302" t="s">
        <v>7</v>
      </c>
      <c r="E302" s="4">
        <v>130</v>
      </c>
      <c r="F302" s="5">
        <f>IF($E302="","",IFERROR(INDEX(PokemonRef!$C$2:$C$494,MATCH($E302,PokemonRef!$A$2:$A$494,0)),""))</f>
      </c>
      <c r="G302" s="5">
        <f>IF($E302="","",IFERROR(INDEX(PokemonRef!$B$2:$B$494,MATCH($E302,PokemonRef!$A$2:$A$494,0)),""))</f>
      </c>
      <c r="H302" s="4">
        <v>15</v>
      </c>
      <c r="I302" s="4">
        <v>15</v>
      </c>
      <c r="J302" s="4">
        <v>25</v>
      </c>
      <c r="K302" t="s">
        <v>15</v>
      </c>
      <c r="L302" t="s">
        <v>1022</v>
      </c>
      <c r="M302" t="s">
        <v>1022</v>
      </c>
      <c r="N302" s="5">
        <f>IF($E302="","",TEXTJOIN("|",TRUE,K302:M302))</f>
      </c>
      <c r="O302" t="s">
        <v>1022</v>
      </c>
    </row>
    <row r="303" spans="1:15" x14ac:dyDescent="0.25">
      <c r="A303" t="s">
        <v>1107</v>
      </c>
      <c r="B303" t="s">
        <v>1108</v>
      </c>
      <c r="C303" t="s">
        <v>6</v>
      </c>
      <c r="D303" t="s">
        <v>7</v>
      </c>
      <c r="E303" s="4">
        <v>24</v>
      </c>
      <c r="F303" s="5">
        <f>IF($E303="","",IFERROR(INDEX(PokemonRef!$C$2:$C$494,MATCH($E303,PokemonRef!$A$2:$A$494,0)),""))</f>
      </c>
      <c r="G303" s="5">
        <f>IF($E303="","",IFERROR(INDEX(PokemonRef!$B$2:$B$494,MATCH($E303,PokemonRef!$A$2:$A$494,0)),""))</f>
      </c>
      <c r="H303" s="4">
        <v>5</v>
      </c>
      <c r="I303" s="4">
        <v>44</v>
      </c>
      <c r="J303" s="4">
        <v>44</v>
      </c>
      <c r="K303" t="s">
        <v>8</v>
      </c>
      <c r="L303" t="s">
        <v>1022</v>
      </c>
      <c r="M303" t="s">
        <v>1022</v>
      </c>
      <c r="N303" s="5">
        <f>IF($E303="","",TEXTJOIN("|",TRUE,K303:M303))</f>
      </c>
      <c r="O303" t="s">
        <v>1022</v>
      </c>
    </row>
    <row r="304" spans="1:15" x14ac:dyDescent="0.25">
      <c r="A304" t="s">
        <v>1107</v>
      </c>
      <c r="B304" t="s">
        <v>1108</v>
      </c>
      <c r="C304" t="s">
        <v>6</v>
      </c>
      <c r="D304" t="s">
        <v>7</v>
      </c>
      <c r="E304" s="4">
        <v>28</v>
      </c>
      <c r="F304" s="5">
        <f>IF($E304="","",IFERROR(INDEX(PokemonRef!$C$2:$C$494,MATCH($E304,PokemonRef!$A$2:$A$494,0)),""))</f>
      </c>
      <c r="G304" s="5">
        <f>IF($E304="","",IFERROR(INDEX(PokemonRef!$B$2:$B$494,MATCH($E304,PokemonRef!$A$2:$A$494,0)),""))</f>
      </c>
      <c r="H304" s="4">
        <v>5</v>
      </c>
      <c r="I304" s="4">
        <v>44</v>
      </c>
      <c r="J304" s="4">
        <v>44</v>
      </c>
      <c r="K304" t="s">
        <v>8</v>
      </c>
      <c r="L304" t="s">
        <v>1022</v>
      </c>
      <c r="M304" t="s">
        <v>1022</v>
      </c>
      <c r="N304" s="5">
        <f>IF($E304="","",TEXTJOIN("|",TRUE,K304:M304))</f>
      </c>
      <c r="O304" t="s">
        <v>1022</v>
      </c>
    </row>
    <row r="305" spans="1:15" x14ac:dyDescent="0.25">
      <c r="A305" t="s">
        <v>1107</v>
      </c>
      <c r="B305" t="s">
        <v>1108</v>
      </c>
      <c r="C305" t="s">
        <v>6</v>
      </c>
      <c r="D305" t="s">
        <v>7</v>
      </c>
      <c r="E305" s="4">
        <v>57</v>
      </c>
      <c r="F305" s="5">
        <f>IF($E305="","",IFERROR(INDEX(PokemonRef!$C$2:$C$494,MATCH($E305,PokemonRef!$A$2:$A$494,0)),""))</f>
      </c>
      <c r="G305" s="5">
        <f>IF($E305="","",IFERROR(INDEX(PokemonRef!$B$2:$B$494,MATCH($E305,PokemonRef!$A$2:$A$494,0)),""))</f>
      </c>
      <c r="H305" s="4">
        <v>5</v>
      </c>
      <c r="I305" s="4">
        <v>42</v>
      </c>
      <c r="J305" s="4">
        <v>42</v>
      </c>
      <c r="K305" t="s">
        <v>8</v>
      </c>
      <c r="L305" t="s">
        <v>1022</v>
      </c>
      <c r="M305" t="s">
        <v>1022</v>
      </c>
      <c r="N305" s="5">
        <f>IF($E305="","",TEXTJOIN("|",TRUE,K305:M305))</f>
      </c>
      <c r="O305" t="s">
        <v>1022</v>
      </c>
    </row>
    <row r="306" spans="1:15" x14ac:dyDescent="0.25">
      <c r="A306" t="s">
        <v>1109</v>
      </c>
      <c r="B306" t="s">
        <v>1110</v>
      </c>
      <c r="C306" t="s">
        <v>12</v>
      </c>
      <c r="D306" t="s">
        <v>7</v>
      </c>
      <c r="E306" s="4">
        <v>95</v>
      </c>
      <c r="F306" s="5">
        <f>IF($E306="","",IFERROR(INDEX(PokemonRef!$C$2:$C$494,MATCH($E306,PokemonRef!$A$2:$A$494,0)),""))</f>
      </c>
      <c r="G306" s="5">
        <f>IF($E306="","",IFERROR(INDEX(PokemonRef!$B$2:$B$494,MATCH($E306,PokemonRef!$A$2:$A$494,0)),""))</f>
      </c>
      <c r="H306" s="4">
        <v>30</v>
      </c>
      <c r="I306" s="4">
        <v>40</v>
      </c>
      <c r="J306" s="4">
        <v>48</v>
      </c>
      <c r="K306" t="s">
        <v>8</v>
      </c>
      <c r="L306" t="s">
        <v>1022</v>
      </c>
      <c r="M306" t="s">
        <v>1022</v>
      </c>
      <c r="N306" s="5">
        <f>IF($E306="","",TEXTJOIN("|",TRUE,K306:M306))</f>
      </c>
      <c r="O306" t="s">
        <v>1022</v>
      </c>
    </row>
    <row r="307" spans="1:15" x14ac:dyDescent="0.25">
      <c r="A307" t="s">
        <v>1109</v>
      </c>
      <c r="B307" t="s">
        <v>1110</v>
      </c>
      <c r="C307" t="s">
        <v>12</v>
      </c>
      <c r="D307" t="s">
        <v>7</v>
      </c>
      <c r="E307" s="4">
        <v>66</v>
      </c>
      <c r="F307" s="5">
        <f>IF($E307="","",IFERROR(INDEX(PokemonRef!$C$2:$C$494,MATCH($E307,PokemonRef!$A$2:$A$494,0)),""))</f>
      </c>
      <c r="G307" s="5">
        <f>IF($E307="","",IFERROR(INDEX(PokemonRef!$B$2:$B$494,MATCH($E307,PokemonRef!$A$2:$A$494,0)),""))</f>
      </c>
      <c r="H307" s="4">
        <v>20</v>
      </c>
      <c r="I307" s="4">
        <v>32</v>
      </c>
      <c r="J307" s="4">
        <v>34</v>
      </c>
      <c r="K307" t="s">
        <v>8</v>
      </c>
      <c r="L307" t="s">
        <v>1022</v>
      </c>
      <c r="M307" t="s">
        <v>1022</v>
      </c>
      <c r="N307" s="5">
        <f>IF($E307="","",TEXTJOIN("|",TRUE,K307:M307))</f>
      </c>
      <c r="O307" t="s">
        <v>1022</v>
      </c>
    </row>
    <row r="308" spans="1:15" x14ac:dyDescent="0.25">
      <c r="A308" t="s">
        <v>1109</v>
      </c>
      <c r="B308" t="s">
        <v>1110</v>
      </c>
      <c r="C308" t="s">
        <v>12</v>
      </c>
      <c r="D308" t="s">
        <v>7</v>
      </c>
      <c r="E308" s="4">
        <v>74</v>
      </c>
      <c r="F308" s="5">
        <f>IF($E308="","",IFERROR(INDEX(PokemonRef!$C$2:$C$494,MATCH($E308,PokemonRef!$A$2:$A$494,0)),""))</f>
      </c>
      <c r="G308" s="5">
        <f>IF($E308="","",IFERROR(INDEX(PokemonRef!$B$2:$B$494,MATCH($E308,PokemonRef!$A$2:$A$494,0)),""))</f>
      </c>
      <c r="H308" s="4">
        <v>20</v>
      </c>
      <c r="I308" s="4">
        <v>32</v>
      </c>
      <c r="J308" s="4">
        <v>34</v>
      </c>
      <c r="K308" t="s">
        <v>8</v>
      </c>
      <c r="L308" t="s">
        <v>1022</v>
      </c>
      <c r="M308" t="s">
        <v>1022</v>
      </c>
      <c r="N308" s="5">
        <f>IF($E308="","",TEXTJOIN("|",TRUE,K308:M308))</f>
      </c>
      <c r="O308" t="s">
        <v>1022</v>
      </c>
    </row>
    <row r="309" spans="1:15" x14ac:dyDescent="0.25">
      <c r="A309" t="s">
        <v>1109</v>
      </c>
      <c r="B309" t="s">
        <v>1110</v>
      </c>
      <c r="C309" t="s">
        <v>12</v>
      </c>
      <c r="D309" t="s">
        <v>7</v>
      </c>
      <c r="E309" s="4">
        <v>41</v>
      </c>
      <c r="F309" s="5">
        <f>IF($E309="","",IFERROR(INDEX(PokemonRef!$C$2:$C$494,MATCH($E309,PokemonRef!$A$2:$A$494,0)),""))</f>
      </c>
      <c r="G309" s="5">
        <f>IF($E309="","",IFERROR(INDEX(PokemonRef!$B$2:$B$494,MATCH($E309,PokemonRef!$A$2:$A$494,0)),""))</f>
      </c>
      <c r="H309" s="4">
        <v>10</v>
      </c>
      <c r="I309" s="4">
        <v>32</v>
      </c>
      <c r="J309" s="4">
        <v>34</v>
      </c>
      <c r="K309" t="s">
        <v>8</v>
      </c>
      <c r="L309" t="s">
        <v>1022</v>
      </c>
      <c r="M309" t="s">
        <v>1022</v>
      </c>
      <c r="N309" s="5">
        <f>IF($E309="","",TEXTJOIN("|",TRUE,K309:M309))</f>
      </c>
      <c r="O309" t="s">
        <v>1022</v>
      </c>
    </row>
    <row r="310" spans="1:15" x14ac:dyDescent="0.25">
      <c r="A310" t="s">
        <v>1109</v>
      </c>
      <c r="B310" t="s">
        <v>1110</v>
      </c>
      <c r="C310" t="s">
        <v>12</v>
      </c>
      <c r="D310" t="s">
        <v>7</v>
      </c>
      <c r="E310" s="4">
        <v>57</v>
      </c>
      <c r="F310" s="5">
        <f>IF($E310="","",IFERROR(INDEX(PokemonRef!$C$2:$C$494,MATCH($E310,PokemonRef!$A$2:$A$494,0)),""))</f>
      </c>
      <c r="G310" s="5">
        <f>IF($E310="","",IFERROR(INDEX(PokemonRef!$B$2:$B$494,MATCH($E310,PokemonRef!$A$2:$A$494,0)),""))</f>
      </c>
      <c r="H310" s="4">
        <v>10</v>
      </c>
      <c r="I310" s="4">
        <v>42</v>
      </c>
      <c r="J310" s="4">
        <v>42</v>
      </c>
      <c r="K310" t="s">
        <v>8</v>
      </c>
      <c r="L310" t="s">
        <v>1022</v>
      </c>
      <c r="M310" t="s">
        <v>1022</v>
      </c>
      <c r="N310" s="5">
        <f>IF($E310="","",TEXTJOIN("|",TRUE,K310:M310))</f>
      </c>
      <c r="O310" t="s">
        <v>1022</v>
      </c>
    </row>
    <row r="311" spans="1:15" x14ac:dyDescent="0.25">
      <c r="A311" t="s">
        <v>1109</v>
      </c>
      <c r="B311" t="s">
        <v>1110</v>
      </c>
      <c r="C311" t="s">
        <v>12</v>
      </c>
      <c r="D311" t="s">
        <v>7</v>
      </c>
      <c r="E311" s="4">
        <v>24</v>
      </c>
      <c r="F311" s="5">
        <f>IF($E311="","",IFERROR(INDEX(PokemonRef!$C$2:$C$494,MATCH($E311,PokemonRef!$A$2:$A$494,0)),""))</f>
      </c>
      <c r="G311" s="5">
        <f>IF($E311="","",IFERROR(INDEX(PokemonRef!$B$2:$B$494,MATCH($E311,PokemonRef!$A$2:$A$494,0)),""))</f>
      </c>
      <c r="H311" s="4">
        <v>5</v>
      </c>
      <c r="I311" s="4">
        <v>44</v>
      </c>
      <c r="J311" s="4">
        <v>46</v>
      </c>
      <c r="K311" t="s">
        <v>8</v>
      </c>
      <c r="L311" t="s">
        <v>1022</v>
      </c>
      <c r="M311" t="s">
        <v>1022</v>
      </c>
      <c r="N311" s="5">
        <f>IF($E311="","",TEXTJOIN("|",TRUE,K311:M311))</f>
      </c>
      <c r="O311" t="s">
        <v>1022</v>
      </c>
    </row>
    <row r="312" spans="1:15" x14ac:dyDescent="0.25">
      <c r="A312" t="s">
        <v>1109</v>
      </c>
      <c r="B312" t="s">
        <v>1110</v>
      </c>
      <c r="C312" t="s">
        <v>12</v>
      </c>
      <c r="D312" t="s">
        <v>7</v>
      </c>
      <c r="E312" s="4">
        <v>28</v>
      </c>
      <c r="F312" s="5">
        <f>IF($E312="","",IFERROR(INDEX(PokemonRef!$C$2:$C$494,MATCH($E312,PokemonRef!$A$2:$A$494,0)),""))</f>
      </c>
      <c r="G312" s="5">
        <f>IF($E312="","",IFERROR(INDEX(PokemonRef!$B$2:$B$494,MATCH($E312,PokemonRef!$A$2:$A$494,0)),""))</f>
      </c>
      <c r="H312" s="4">
        <v>5</v>
      </c>
      <c r="I312" s="4">
        <v>44</v>
      </c>
      <c r="J312" s="4">
        <v>46</v>
      </c>
      <c r="K312" t="s">
        <v>8</v>
      </c>
      <c r="L312" t="s">
        <v>1022</v>
      </c>
      <c r="M312" t="s">
        <v>1022</v>
      </c>
      <c r="N312" s="5">
        <f>IF($E312="","",TEXTJOIN("|",TRUE,K312:M312))</f>
      </c>
      <c r="O312" t="s">
        <v>1022</v>
      </c>
    </row>
    <row r="313" spans="1:15" x14ac:dyDescent="0.25">
      <c r="A313" t="s">
        <v>1109</v>
      </c>
      <c r="B313" t="s">
        <v>1110</v>
      </c>
      <c r="C313" t="s">
        <v>12</v>
      </c>
      <c r="D313" t="s">
        <v>7</v>
      </c>
      <c r="E313" s="4">
        <v>42</v>
      </c>
      <c r="F313" s="5">
        <f>IF($E313="","",IFERROR(INDEX(PokemonRef!$C$2:$C$494,MATCH($E313,PokemonRef!$A$2:$A$494,0)),""))</f>
      </c>
      <c r="G313" s="5">
        <f>IF($E313="","",IFERROR(INDEX(PokemonRef!$B$2:$B$494,MATCH($E313,PokemonRef!$A$2:$A$494,0)),""))</f>
      </c>
      <c r="H313" s="4">
        <v>5</v>
      </c>
      <c r="I313" s="4">
        <v>44</v>
      </c>
      <c r="J313" s="4">
        <v>46</v>
      </c>
      <c r="K313" t="s">
        <v>8</v>
      </c>
      <c r="L313" t="s">
        <v>1022</v>
      </c>
      <c r="M313" t="s">
        <v>1022</v>
      </c>
      <c r="N313" s="5">
        <f>IF($E313="","",TEXTJOIN("|",TRUE,K313:M313))</f>
      </c>
      <c r="O313" t="s">
        <v>1022</v>
      </c>
    </row>
    <row r="314" spans="1:15" x14ac:dyDescent="0.25">
      <c r="A314" t="s">
        <v>1109</v>
      </c>
      <c r="B314" t="s">
        <v>1110</v>
      </c>
      <c r="C314" t="s">
        <v>12</v>
      </c>
      <c r="D314" t="s">
        <v>7</v>
      </c>
      <c r="E314" s="4">
        <v>67</v>
      </c>
      <c r="F314" s="5">
        <f>IF($E314="","",IFERROR(INDEX(PokemonRef!$C$2:$C$494,MATCH($E314,PokemonRef!$A$2:$A$494,0)),""))</f>
      </c>
      <c r="G314" s="5">
        <f>IF($E314="","",IFERROR(INDEX(PokemonRef!$B$2:$B$494,MATCH($E314,PokemonRef!$A$2:$A$494,0)),""))</f>
      </c>
      <c r="H314" s="4">
        <v>5</v>
      </c>
      <c r="I314" s="4">
        <v>44</v>
      </c>
      <c r="J314" s="4">
        <v>48</v>
      </c>
      <c r="K314" t="s">
        <v>8</v>
      </c>
      <c r="L314" t="s">
        <v>1022</v>
      </c>
      <c r="M314" t="s">
        <v>1022</v>
      </c>
      <c r="N314" s="5">
        <f>IF($E314="","",TEXTJOIN("|",TRUE,K314:M314))</f>
      </c>
      <c r="O314" t="s">
        <v>1022</v>
      </c>
    </row>
    <row r="315" spans="1:15" x14ac:dyDescent="0.25">
      <c r="A315" t="s">
        <v>1109</v>
      </c>
      <c r="B315" t="s">
        <v>1110</v>
      </c>
      <c r="C315" t="s">
        <v>12</v>
      </c>
      <c r="D315" t="s">
        <v>7</v>
      </c>
      <c r="E315" s="4">
        <v>105</v>
      </c>
      <c r="F315" s="5">
        <f>IF($E315="","",IFERROR(INDEX(PokemonRef!$C$2:$C$494,MATCH($E315,PokemonRef!$A$2:$A$494,0)),""))</f>
      </c>
      <c r="G315" s="5">
        <f>IF($E315="","",IFERROR(INDEX(PokemonRef!$B$2:$B$494,MATCH($E315,PokemonRef!$A$2:$A$494,0)),""))</f>
      </c>
      <c r="H315" s="4">
        <v>5</v>
      </c>
      <c r="I315" s="4">
        <v>44</v>
      </c>
      <c r="J315" s="4">
        <v>48</v>
      </c>
      <c r="K315" t="s">
        <v>8</v>
      </c>
      <c r="L315" t="s">
        <v>1022</v>
      </c>
      <c r="M315" t="s">
        <v>1022</v>
      </c>
      <c r="N315" s="5">
        <f>IF($E315="","",TEXTJOIN("|",TRUE,K315:M315))</f>
      </c>
      <c r="O315" t="s">
        <v>1022</v>
      </c>
    </row>
    <row r="316" spans="1:15" x14ac:dyDescent="0.25">
      <c r="A316" t="s">
        <v>1111</v>
      </c>
      <c r="B316" t="s">
        <v>1112</v>
      </c>
      <c r="C316" t="s">
        <v>1021</v>
      </c>
      <c r="D316" t="s">
        <v>10</v>
      </c>
      <c r="E316" s="4" t="s">
        <v>1022</v>
      </c>
      <c r="F316" s="5"/>
      <c r="G316" s="5"/>
      <c r="H316" s="4" t="s">
        <v>1022</v>
      </c>
      <c r="I316" s="4" t="s">
        <v>1022</v>
      </c>
      <c r="J316" s="4" t="s">
        <v>1022</v>
      </c>
      <c r="K316" t="s">
        <v>1022</v>
      </c>
      <c r="L316" t="s">
        <v>1022</v>
      </c>
      <c r="M316" t="s">
        <v>1022</v>
      </c>
      <c r="N316" s="5" t="s">
        <v>1022</v>
      </c>
      <c r="O316" t="s">
        <v>1022</v>
      </c>
    </row>
    <row r="317" spans="1:15" x14ac:dyDescent="0.25">
      <c r="A317" t="s">
        <v>1113</v>
      </c>
      <c r="B317" t="s">
        <v>1114</v>
      </c>
      <c r="C317" t="s">
        <v>12</v>
      </c>
      <c r="D317" t="s">
        <v>7</v>
      </c>
      <c r="E317" s="4">
        <v>129</v>
      </c>
      <c r="F317" s="5">
        <f>IF($E317="","",IFERROR(INDEX(PokemonRef!$C$2:$C$494,MATCH($E317,PokemonRef!$A$2:$A$494,0)),""))</f>
      </c>
      <c r="G317" s="5">
        <f>IF($E317="","",IFERROR(INDEX(PokemonRef!$B$2:$B$494,MATCH($E317,PokemonRef!$A$2:$A$494,0)),""))</f>
      </c>
      <c r="H317" s="4">
        <v>120</v>
      </c>
      <c r="I317" s="4">
        <v>5</v>
      </c>
      <c r="J317" s="4">
        <v>15</v>
      </c>
      <c r="K317" t="s">
        <v>14</v>
      </c>
      <c r="L317" t="s">
        <v>13</v>
      </c>
      <c r="M317" t="s">
        <v>1022</v>
      </c>
      <c r="N317" s="5">
        <f>IF($E317="","",TEXTJOIN("|",TRUE,K317:M317))</f>
      </c>
      <c r="O317" t="s">
        <v>1022</v>
      </c>
    </row>
    <row r="318" spans="1:15" x14ac:dyDescent="0.25">
      <c r="A318" t="s">
        <v>1113</v>
      </c>
      <c r="B318" t="s">
        <v>1114</v>
      </c>
      <c r="C318" t="s">
        <v>12</v>
      </c>
      <c r="D318" t="s">
        <v>7</v>
      </c>
      <c r="E318" s="4">
        <v>60</v>
      </c>
      <c r="F318" s="5">
        <f>IF($E318="","",IFERROR(INDEX(PokemonRef!$C$2:$C$494,MATCH($E318,PokemonRef!$A$2:$A$494,0)),""))</f>
      </c>
      <c r="G318" s="5">
        <f>IF($E318="","",IFERROR(INDEX(PokemonRef!$B$2:$B$494,MATCH($E318,PokemonRef!$A$2:$A$494,0)),""))</f>
      </c>
      <c r="H318" s="4">
        <v>100</v>
      </c>
      <c r="I318" s="4">
        <v>5</v>
      </c>
      <c r="J318" s="4">
        <v>25</v>
      </c>
      <c r="K318" t="s">
        <v>14</v>
      </c>
      <c r="L318" t="s">
        <v>15</v>
      </c>
      <c r="M318" t="s">
        <v>1022</v>
      </c>
      <c r="N318" s="5">
        <f>IF($E318="","",TEXTJOIN("|",TRUE,K318:M318))</f>
      </c>
      <c r="O318" t="s">
        <v>1022</v>
      </c>
    </row>
    <row r="319" spans="1:15" x14ac:dyDescent="0.25">
      <c r="A319" t="s">
        <v>1113</v>
      </c>
      <c r="B319" t="s">
        <v>1114</v>
      </c>
      <c r="C319" t="s">
        <v>12</v>
      </c>
      <c r="D319" t="s">
        <v>7</v>
      </c>
      <c r="E319" s="4">
        <v>150</v>
      </c>
      <c r="F319" s="5">
        <f>IF($E319="","",IFERROR(INDEX(PokemonRef!$C$2:$C$494,MATCH($E319,PokemonRef!$A$2:$A$494,0)),""))</f>
      </c>
      <c r="G319" s="5">
        <f>IF($E319="","",IFERROR(INDEX(PokemonRef!$B$2:$B$494,MATCH($E319,PokemonRef!$A$2:$A$494,0)),""))</f>
      </c>
      <c r="H319" s="4">
        <v>100</v>
      </c>
      <c r="I319" s="4">
        <v>70</v>
      </c>
      <c r="J319" s="4">
        <v>70</v>
      </c>
      <c r="K319" t="s">
        <v>17</v>
      </c>
      <c r="L319" t="s">
        <v>1022</v>
      </c>
      <c r="M319" t="s">
        <v>1022</v>
      </c>
      <c r="N319" s="5">
        <f>IF($E319="","",TEXTJOIN("|",TRUE,K319:M319))</f>
      </c>
      <c r="O319" t="s">
        <v>1022</v>
      </c>
    </row>
    <row r="320" spans="1:15" x14ac:dyDescent="0.25">
      <c r="A320" t="s">
        <v>1113</v>
      </c>
      <c r="B320" t="s">
        <v>1114</v>
      </c>
      <c r="C320" t="s">
        <v>12</v>
      </c>
      <c r="D320" t="s">
        <v>7</v>
      </c>
      <c r="E320" s="4">
        <v>54</v>
      </c>
      <c r="F320" s="5">
        <f>IF($E320="","",IFERROR(INDEX(PokemonRef!$C$2:$C$494,MATCH($E320,PokemonRef!$A$2:$A$494,0)),""))</f>
      </c>
      <c r="G320" s="5">
        <f>IF($E320="","",IFERROR(INDEX(PokemonRef!$B$2:$B$494,MATCH($E320,PokemonRef!$A$2:$A$494,0)),""))</f>
      </c>
      <c r="H320" s="4">
        <v>70</v>
      </c>
      <c r="I320" s="4">
        <v>15</v>
      </c>
      <c r="J320" s="4">
        <v>60</v>
      </c>
      <c r="K320" t="s">
        <v>15</v>
      </c>
      <c r="L320" t="s">
        <v>11</v>
      </c>
      <c r="M320" t="s">
        <v>1022</v>
      </c>
      <c r="N320" s="5">
        <f>IF($E320="","",TEXTJOIN("|",TRUE,K320:M320))</f>
      </c>
      <c r="O320" t="s">
        <v>1022</v>
      </c>
    </row>
    <row r="321" spans="1:15" x14ac:dyDescent="0.25">
      <c r="A321" t="s">
        <v>1113</v>
      </c>
      <c r="B321" t="s">
        <v>1114</v>
      </c>
      <c r="C321" t="s">
        <v>12</v>
      </c>
      <c r="D321" t="s">
        <v>7</v>
      </c>
      <c r="E321" s="4">
        <v>79</v>
      </c>
      <c r="F321" s="5">
        <f>IF($E321="","",IFERROR(INDEX(PokemonRef!$C$2:$C$494,MATCH($E321,PokemonRef!$A$2:$A$494,0)),""))</f>
      </c>
      <c r="G321" s="5">
        <f>IF($E321="","",IFERROR(INDEX(PokemonRef!$B$2:$B$494,MATCH($E321,PokemonRef!$A$2:$A$494,0)),""))</f>
      </c>
      <c r="H321" s="4">
        <v>70</v>
      </c>
      <c r="I321" s="4">
        <v>15</v>
      </c>
      <c r="J321" s="4">
        <v>60</v>
      </c>
      <c r="K321" t="s">
        <v>15</v>
      </c>
      <c r="L321" t="s">
        <v>11</v>
      </c>
      <c r="M321" t="s">
        <v>1022</v>
      </c>
      <c r="N321" s="5">
        <f>IF($E321="","",TEXTJOIN("|",TRUE,K321:M321))</f>
      </c>
      <c r="O321" t="s">
        <v>1022</v>
      </c>
    </row>
    <row r="322" spans="1:15" x14ac:dyDescent="0.25">
      <c r="A322" t="s">
        <v>1113</v>
      </c>
      <c r="B322" t="s">
        <v>1114</v>
      </c>
      <c r="C322" t="s">
        <v>12</v>
      </c>
      <c r="D322" t="s">
        <v>7</v>
      </c>
      <c r="E322" s="4">
        <v>74</v>
      </c>
      <c r="F322" s="5">
        <f>IF($E322="","",IFERROR(INDEX(PokemonRef!$C$2:$C$494,MATCH($E322,PokemonRef!$A$2:$A$494,0)),""))</f>
      </c>
      <c r="G322" s="5">
        <f>IF($E322="","",IFERROR(INDEX(PokemonRef!$B$2:$B$494,MATCH($E322,PokemonRef!$A$2:$A$494,0)),""))</f>
      </c>
      <c r="H322" s="4">
        <v>65</v>
      </c>
      <c r="I322" s="4">
        <v>30</v>
      </c>
      <c r="J322" s="4">
        <v>60</v>
      </c>
      <c r="K322" t="s">
        <v>19</v>
      </c>
      <c r="L322" t="s">
        <v>1022</v>
      </c>
      <c r="M322" t="s">
        <v>1022</v>
      </c>
      <c r="N322" s="5">
        <f>IF($E322="","",TEXTJOIN("|",TRUE,K322:M322))</f>
      </c>
      <c r="O322" t="s">
        <v>1022</v>
      </c>
    </row>
    <row r="323" spans="1:15" x14ac:dyDescent="0.25">
      <c r="A323" t="s">
        <v>1113</v>
      </c>
      <c r="B323" t="s">
        <v>1114</v>
      </c>
      <c r="C323" t="s">
        <v>12</v>
      </c>
      <c r="D323" t="s">
        <v>7</v>
      </c>
      <c r="E323" s="4">
        <v>61</v>
      </c>
      <c r="F323" s="5">
        <f>IF($E323="","",IFERROR(INDEX(PokemonRef!$C$2:$C$494,MATCH($E323,PokemonRef!$A$2:$A$494,0)),""))</f>
      </c>
      <c r="G323" s="5">
        <f>IF($E323="","",IFERROR(INDEX(PokemonRef!$B$2:$B$494,MATCH($E323,PokemonRef!$A$2:$A$494,0)),""))</f>
      </c>
      <c r="H323" s="4">
        <v>40</v>
      </c>
      <c r="I323" s="4">
        <v>20</v>
      </c>
      <c r="J323" s="4">
        <v>30</v>
      </c>
      <c r="K323" t="s">
        <v>15</v>
      </c>
      <c r="L323" t="s">
        <v>1022</v>
      </c>
      <c r="M323" t="s">
        <v>1022</v>
      </c>
      <c r="N323" s="5">
        <f>IF($E323="","",TEXTJOIN("|",TRUE,K323:M323))</f>
      </c>
      <c r="O323" t="s">
        <v>1022</v>
      </c>
    </row>
    <row r="324" spans="1:15" x14ac:dyDescent="0.25">
      <c r="A324" t="s">
        <v>1113</v>
      </c>
      <c r="B324" t="s">
        <v>1114</v>
      </c>
      <c r="C324" t="s">
        <v>12</v>
      </c>
      <c r="D324" t="s">
        <v>7</v>
      </c>
      <c r="E324" s="4">
        <v>55</v>
      </c>
      <c r="F324" s="5">
        <f>IF($E324="","",IFERROR(INDEX(PokemonRef!$C$2:$C$494,MATCH($E324,PokemonRef!$A$2:$A$494,0)),""))</f>
      </c>
      <c r="G324" s="5">
        <f>IF($E324="","",IFERROR(INDEX(PokemonRef!$B$2:$B$494,MATCH($E324,PokemonRef!$A$2:$A$494,0)),""))</f>
      </c>
      <c r="H324" s="4">
        <v>35</v>
      </c>
      <c r="I324" s="4">
        <v>40</v>
      </c>
      <c r="J324" s="4">
        <v>65</v>
      </c>
      <c r="K324" t="s">
        <v>11</v>
      </c>
      <c r="L324" t="s">
        <v>1022</v>
      </c>
      <c r="M324" t="s">
        <v>1022</v>
      </c>
      <c r="N324" s="5">
        <f>IF($E324="","",TEXTJOIN("|",TRUE,K324:M324))</f>
      </c>
      <c r="O324" t="s">
        <v>1022</v>
      </c>
    </row>
    <row r="325" spans="1:15" x14ac:dyDescent="0.25">
      <c r="A325" t="s">
        <v>1113</v>
      </c>
      <c r="B325" t="s">
        <v>1114</v>
      </c>
      <c r="C325" t="s">
        <v>12</v>
      </c>
      <c r="D325" t="s">
        <v>7</v>
      </c>
      <c r="E325" s="4">
        <v>75</v>
      </c>
      <c r="F325" s="5">
        <f>IF($E325="","",IFERROR(INDEX(PokemonRef!$C$2:$C$494,MATCH($E325,PokemonRef!$A$2:$A$494,0)),""))</f>
      </c>
      <c r="G325" s="5">
        <f>IF($E325="","",IFERROR(INDEX(PokemonRef!$B$2:$B$494,MATCH($E325,PokemonRef!$A$2:$A$494,0)),""))</f>
      </c>
      <c r="H325" s="4">
        <v>35</v>
      </c>
      <c r="I325" s="4">
        <v>40</v>
      </c>
      <c r="J325" s="4">
        <v>65</v>
      </c>
      <c r="K325" t="s">
        <v>19</v>
      </c>
      <c r="L325" t="s">
        <v>1022</v>
      </c>
      <c r="M325" t="s">
        <v>1022</v>
      </c>
      <c r="N325" s="5">
        <f>IF($E325="","",TEXTJOIN("|",TRUE,K325:M325))</f>
      </c>
      <c r="O325" t="s">
        <v>1022</v>
      </c>
    </row>
    <row r="326" spans="1:15" x14ac:dyDescent="0.25">
      <c r="A326" t="s">
        <v>1113</v>
      </c>
      <c r="B326" t="s">
        <v>1114</v>
      </c>
      <c r="C326" t="s">
        <v>12</v>
      </c>
      <c r="D326" t="s">
        <v>7</v>
      </c>
      <c r="E326" s="4">
        <v>80</v>
      </c>
      <c r="F326" s="5">
        <f>IF($E326="","",IFERROR(INDEX(PokemonRef!$C$2:$C$494,MATCH($E326,PokemonRef!$A$2:$A$494,0)),""))</f>
      </c>
      <c r="G326" s="5">
        <f>IF($E326="","",IFERROR(INDEX(PokemonRef!$B$2:$B$494,MATCH($E326,PokemonRef!$A$2:$A$494,0)),""))</f>
      </c>
      <c r="H326" s="4">
        <v>35</v>
      </c>
      <c r="I326" s="4">
        <v>40</v>
      </c>
      <c r="J326" s="4">
        <v>65</v>
      </c>
      <c r="K326" t="s">
        <v>11</v>
      </c>
      <c r="L326" t="s">
        <v>1022</v>
      </c>
      <c r="M326" t="s">
        <v>1022</v>
      </c>
      <c r="N326" s="5">
        <f>IF($E326="","",TEXTJOIN("|",TRUE,K326:M326))</f>
      </c>
      <c r="O326" t="s">
        <v>1022</v>
      </c>
    </row>
    <row r="327" spans="1:15" x14ac:dyDescent="0.25">
      <c r="A327" t="s">
        <v>1113</v>
      </c>
      <c r="B327" t="s">
        <v>1114</v>
      </c>
      <c r="C327" t="s">
        <v>12</v>
      </c>
      <c r="D327" t="s">
        <v>7</v>
      </c>
      <c r="E327" s="4">
        <v>42</v>
      </c>
      <c r="F327" s="5">
        <f>IF($E327="","",IFERROR(INDEX(PokemonRef!$C$2:$C$494,MATCH($E327,PokemonRef!$A$2:$A$494,0)),""))</f>
      </c>
      <c r="G327" s="5">
        <f>IF($E327="","",IFERROR(INDEX(PokemonRef!$B$2:$B$494,MATCH($E327,PokemonRef!$A$2:$A$494,0)),""))</f>
      </c>
      <c r="H327" s="4">
        <v>25</v>
      </c>
      <c r="I327" s="4">
        <v>46</v>
      </c>
      <c r="J327" s="4">
        <v>61</v>
      </c>
      <c r="K327" t="s">
        <v>8</v>
      </c>
      <c r="L327" t="s">
        <v>1022</v>
      </c>
      <c r="M327" t="s">
        <v>1022</v>
      </c>
      <c r="N327" s="5">
        <f>IF($E327="","",TEXTJOIN("|",TRUE,K327:M327))</f>
      </c>
      <c r="O327" t="s">
        <v>1022</v>
      </c>
    </row>
    <row r="328" spans="1:15" x14ac:dyDescent="0.25">
      <c r="A328" t="s">
        <v>1113</v>
      </c>
      <c r="B328" t="s">
        <v>1114</v>
      </c>
      <c r="C328" t="s">
        <v>12</v>
      </c>
      <c r="D328" t="s">
        <v>7</v>
      </c>
      <c r="E328" s="4">
        <v>47</v>
      </c>
      <c r="F328" s="5">
        <f>IF($E328="","",IFERROR(INDEX(PokemonRef!$C$2:$C$494,MATCH($E328,PokemonRef!$A$2:$A$494,0)),""))</f>
      </c>
      <c r="G328" s="5">
        <f>IF($E328="","",IFERROR(INDEX(PokemonRef!$B$2:$B$494,MATCH($E328,PokemonRef!$A$2:$A$494,0)),""))</f>
      </c>
      <c r="H328" s="4">
        <v>25</v>
      </c>
      <c r="I328" s="4">
        <v>49</v>
      </c>
      <c r="J328" s="4">
        <v>64</v>
      </c>
      <c r="K328" t="s">
        <v>8</v>
      </c>
      <c r="L328" t="s">
        <v>1022</v>
      </c>
      <c r="M328" t="s">
        <v>1022</v>
      </c>
      <c r="N328" s="5">
        <f>IF($E328="","",TEXTJOIN("|",TRUE,K328:M328))</f>
      </c>
      <c r="O328" t="s">
        <v>1022</v>
      </c>
    </row>
    <row r="329" spans="1:15" x14ac:dyDescent="0.25">
      <c r="A329" t="s">
        <v>1113</v>
      </c>
      <c r="B329" t="s">
        <v>1114</v>
      </c>
      <c r="C329" t="s">
        <v>12</v>
      </c>
      <c r="D329" t="s">
        <v>7</v>
      </c>
      <c r="E329" s="4">
        <v>64</v>
      </c>
      <c r="F329" s="5">
        <f>IF($E329="","",IFERROR(INDEX(PokemonRef!$C$2:$C$494,MATCH($E329,PokemonRef!$A$2:$A$494,0)),""))</f>
      </c>
      <c r="G329" s="5">
        <f>IF($E329="","",IFERROR(INDEX(PokemonRef!$B$2:$B$494,MATCH($E329,PokemonRef!$A$2:$A$494,0)),""))</f>
      </c>
      <c r="H329" s="4">
        <v>25</v>
      </c>
      <c r="I329" s="4">
        <v>55</v>
      </c>
      <c r="J329" s="4">
        <v>67</v>
      </c>
      <c r="K329" t="s">
        <v>8</v>
      </c>
      <c r="L329" t="s">
        <v>1022</v>
      </c>
      <c r="M329" t="s">
        <v>1022</v>
      </c>
      <c r="N329" s="5">
        <f>IF($E329="","",TEXTJOIN("|",TRUE,K329:M329))</f>
      </c>
      <c r="O329" t="s">
        <v>1022</v>
      </c>
    </row>
    <row r="330" spans="1:15" x14ac:dyDescent="0.25">
      <c r="A330" t="s">
        <v>1113</v>
      </c>
      <c r="B330" t="s">
        <v>1114</v>
      </c>
      <c r="C330" t="s">
        <v>12</v>
      </c>
      <c r="D330" t="s">
        <v>7</v>
      </c>
      <c r="E330" s="4">
        <v>132</v>
      </c>
      <c r="F330" s="5">
        <f>IF($E330="","",IFERROR(INDEX(PokemonRef!$C$2:$C$494,MATCH($E330,PokemonRef!$A$2:$A$494,0)),""))</f>
      </c>
      <c r="G330" s="5">
        <f>IF($E330="","",IFERROR(INDEX(PokemonRef!$B$2:$B$494,MATCH($E330,PokemonRef!$A$2:$A$494,0)),""))</f>
      </c>
      <c r="H330" s="4">
        <v>25</v>
      </c>
      <c r="I330" s="4">
        <v>52</v>
      </c>
      <c r="J330" s="4">
        <v>67</v>
      </c>
      <c r="K330" t="s">
        <v>8</v>
      </c>
      <c r="L330" t="s">
        <v>1022</v>
      </c>
      <c r="M330" t="s">
        <v>1022</v>
      </c>
      <c r="N330" s="5">
        <f>IF($E330="","",TEXTJOIN("|",TRUE,K330:M330))</f>
      </c>
      <c r="O330" t="s">
        <v>1022</v>
      </c>
    </row>
    <row r="331" spans="1:15" x14ac:dyDescent="0.25">
      <c r="A331" t="s">
        <v>1113</v>
      </c>
      <c r="B331" t="s">
        <v>1114</v>
      </c>
      <c r="C331" t="s">
        <v>12</v>
      </c>
      <c r="D331" t="s">
        <v>7</v>
      </c>
      <c r="E331" s="4">
        <v>67</v>
      </c>
      <c r="F331" s="5">
        <f>IF($E331="","",IFERROR(INDEX(PokemonRef!$C$2:$C$494,MATCH($E331,PokemonRef!$A$2:$A$494,0)),""))</f>
      </c>
      <c r="G331" s="5">
        <f>IF($E331="","",IFERROR(INDEX(PokemonRef!$B$2:$B$494,MATCH($E331,PokemonRef!$A$2:$A$494,0)),""))</f>
      </c>
      <c r="H331" s="4">
        <v>20</v>
      </c>
      <c r="I331" s="4">
        <v>46</v>
      </c>
      <c r="J331" s="4">
        <v>52</v>
      </c>
      <c r="K331" t="s">
        <v>8</v>
      </c>
      <c r="L331" t="s">
        <v>1022</v>
      </c>
      <c r="M331" t="s">
        <v>1022</v>
      </c>
      <c r="N331" s="5">
        <f>IF($E331="","",TEXTJOIN("|",TRUE,K331:M331))</f>
      </c>
      <c r="O331" t="s">
        <v>1022</v>
      </c>
    </row>
    <row r="332" spans="1:15" x14ac:dyDescent="0.25">
      <c r="A332" t="s">
        <v>1113</v>
      </c>
      <c r="B332" t="s">
        <v>1114</v>
      </c>
      <c r="C332" t="s">
        <v>12</v>
      </c>
      <c r="D332" t="s">
        <v>7</v>
      </c>
      <c r="E332" s="4">
        <v>82</v>
      </c>
      <c r="F332" s="5">
        <f>IF($E332="","",IFERROR(INDEX(PokemonRef!$C$2:$C$494,MATCH($E332,PokemonRef!$A$2:$A$494,0)),""))</f>
      </c>
      <c r="G332" s="5">
        <f>IF($E332="","",IFERROR(INDEX(PokemonRef!$B$2:$B$494,MATCH($E332,PokemonRef!$A$2:$A$494,0)),""))</f>
      </c>
      <c r="H332" s="4">
        <v>20</v>
      </c>
      <c r="I332" s="4">
        <v>49</v>
      </c>
      <c r="J332" s="4">
        <v>55</v>
      </c>
      <c r="K332" t="s">
        <v>8</v>
      </c>
      <c r="L332" t="s">
        <v>1022</v>
      </c>
      <c r="M332" t="s">
        <v>1022</v>
      </c>
      <c r="N332" s="5">
        <f>IF($E332="","",TEXTJOIN("|",TRUE,K332:M332))</f>
      </c>
      <c r="O332" t="s">
        <v>1022</v>
      </c>
    </row>
    <row r="333" spans="1:15" x14ac:dyDescent="0.25">
      <c r="A333" t="s">
        <v>1113</v>
      </c>
      <c r="B333" t="s">
        <v>1114</v>
      </c>
      <c r="C333" t="s">
        <v>12</v>
      </c>
      <c r="D333" t="s">
        <v>7</v>
      </c>
      <c r="E333" s="4">
        <v>118</v>
      </c>
      <c r="F333" s="5">
        <f>IF($E333="","",IFERROR(INDEX(PokemonRef!$C$2:$C$494,MATCH($E333,PokemonRef!$A$2:$A$494,0)),""))</f>
      </c>
      <c r="G333" s="5">
        <f>IF($E333="","",IFERROR(INDEX(PokemonRef!$B$2:$B$494,MATCH($E333,PokemonRef!$A$2:$A$494,0)),""))</f>
      </c>
      <c r="H333" s="4">
        <v>20</v>
      </c>
      <c r="I333" s="4">
        <v>5</v>
      </c>
      <c r="J333" s="4">
        <v>15</v>
      </c>
      <c r="K333" t="s">
        <v>14</v>
      </c>
      <c r="L333" t="s">
        <v>1022</v>
      </c>
      <c r="M333" t="s">
        <v>1022</v>
      </c>
      <c r="N333" s="5">
        <f>IF($E333="","",TEXTJOIN("|",TRUE,K333:M333))</f>
      </c>
      <c r="O333" t="s">
        <v>1022</v>
      </c>
    </row>
    <row r="334" spans="1:15" x14ac:dyDescent="0.25">
      <c r="A334" t="s">
        <v>1113</v>
      </c>
      <c r="B334" t="s">
        <v>1114</v>
      </c>
      <c r="C334" t="s">
        <v>12</v>
      </c>
      <c r="D334" t="s">
        <v>7</v>
      </c>
      <c r="E334" s="4">
        <v>130</v>
      </c>
      <c r="F334" s="5">
        <f>IF($E334="","",IFERROR(INDEX(PokemonRef!$C$2:$C$494,MATCH($E334,PokemonRef!$A$2:$A$494,0)),""))</f>
      </c>
      <c r="G334" s="5">
        <f>IF($E334="","",IFERROR(INDEX(PokemonRef!$B$2:$B$494,MATCH($E334,PokemonRef!$A$2:$A$494,0)),""))</f>
      </c>
      <c r="H334" s="4">
        <v>16</v>
      </c>
      <c r="I334" s="4">
        <v>15</v>
      </c>
      <c r="J334" s="4">
        <v>35</v>
      </c>
      <c r="K334" t="s">
        <v>15</v>
      </c>
      <c r="L334" t="s">
        <v>1022</v>
      </c>
      <c r="M334" t="s">
        <v>1022</v>
      </c>
      <c r="N334" s="5">
        <f>IF($E334="","",TEXTJOIN("|",TRUE,K334:M334))</f>
      </c>
      <c r="O334" t="s">
        <v>1022</v>
      </c>
    </row>
    <row r="335" spans="1:15" x14ac:dyDescent="0.25">
      <c r="A335" t="s">
        <v>1113</v>
      </c>
      <c r="B335" t="s">
        <v>1114</v>
      </c>
      <c r="C335" t="s">
        <v>12</v>
      </c>
      <c r="D335" t="s">
        <v>7</v>
      </c>
      <c r="E335" s="4">
        <v>57</v>
      </c>
      <c r="F335" s="5">
        <f>IF($E335="","",IFERROR(INDEX(PokemonRef!$C$2:$C$494,MATCH($E335,PokemonRef!$A$2:$A$494,0)),""))</f>
      </c>
      <c r="G335" s="5">
        <f>IF($E335="","",IFERROR(INDEX(PokemonRef!$B$2:$B$494,MATCH($E335,PokemonRef!$A$2:$A$494,0)),""))</f>
      </c>
      <c r="H335" s="4">
        <v>11</v>
      </c>
      <c r="I335" s="4">
        <v>52</v>
      </c>
      <c r="J335" s="4">
        <v>61</v>
      </c>
      <c r="K335" t="s">
        <v>8</v>
      </c>
      <c r="L335" t="s">
        <v>1022</v>
      </c>
      <c r="M335" t="s">
        <v>1022</v>
      </c>
      <c r="N335" s="5">
        <f>IF($E335="","",TEXTJOIN("|",TRUE,K335:M335))</f>
      </c>
      <c r="O335" t="s">
        <v>1022</v>
      </c>
    </row>
    <row r="336" spans="1:15" x14ac:dyDescent="0.25">
      <c r="A336" t="s">
        <v>1113</v>
      </c>
      <c r="B336" t="s">
        <v>1114</v>
      </c>
      <c r="C336" t="s">
        <v>12</v>
      </c>
      <c r="D336" t="s">
        <v>7</v>
      </c>
      <c r="E336" s="4">
        <v>101</v>
      </c>
      <c r="F336" s="5">
        <f>IF($E336="","",IFERROR(INDEX(PokemonRef!$C$2:$C$494,MATCH($E336,PokemonRef!$A$2:$A$494,0)),""))</f>
      </c>
      <c r="G336" s="5">
        <f>IF($E336="","",IFERROR(INDEX(PokemonRef!$B$2:$B$494,MATCH($E336,PokemonRef!$A$2:$A$494,0)),""))</f>
      </c>
      <c r="H336" s="4">
        <v>5</v>
      </c>
      <c r="I336" s="4">
        <v>58</v>
      </c>
      <c r="J336" s="4">
        <v>64</v>
      </c>
      <c r="K336" t="s">
        <v>8</v>
      </c>
      <c r="L336" t="s">
        <v>1022</v>
      </c>
      <c r="M336" t="s">
        <v>1022</v>
      </c>
      <c r="N336" s="5">
        <f>IF($E336="","",TEXTJOIN("|",TRUE,K336:M336))</f>
      </c>
      <c r="O336" t="s">
        <v>1022</v>
      </c>
    </row>
    <row r="337" spans="1:15" x14ac:dyDescent="0.25">
      <c r="A337" t="s">
        <v>1113</v>
      </c>
      <c r="B337" t="s">
        <v>1114</v>
      </c>
      <c r="C337" t="s">
        <v>12</v>
      </c>
      <c r="D337" t="s">
        <v>7</v>
      </c>
      <c r="E337" s="4">
        <v>202</v>
      </c>
      <c r="F337" s="5">
        <f>IF($E337="","",IFERROR(INDEX(PokemonRef!$C$2:$C$494,MATCH($E337,PokemonRef!$A$2:$A$494,0)),""))</f>
      </c>
      <c r="G337" s="5">
        <f>IF($E337="","",IFERROR(INDEX(PokemonRef!$B$2:$B$494,MATCH($E337,PokemonRef!$A$2:$A$494,0)),""))</f>
      </c>
      <c r="H337" s="4">
        <v>5</v>
      </c>
      <c r="I337" s="4">
        <v>55</v>
      </c>
      <c r="J337" s="4">
        <v>61</v>
      </c>
      <c r="K337" t="s">
        <v>8</v>
      </c>
      <c r="L337" t="s">
        <v>1022</v>
      </c>
      <c r="M337" t="s">
        <v>1022</v>
      </c>
      <c r="N337" s="5">
        <f>IF($E337="","",TEXTJOIN("|",TRUE,K337:M337))</f>
      </c>
      <c r="O337" t="s">
        <v>1022</v>
      </c>
    </row>
    <row r="338" spans="3:13" x14ac:dyDescent="0.25"/>
    <row r="339" spans="3:13" x14ac:dyDescent="0.25"/>
    <row r="340" spans="3:13" x14ac:dyDescent="0.25"/>
    <row r="341" spans="3:13" x14ac:dyDescent="0.25"/>
    <row r="342" spans="3:13" x14ac:dyDescent="0.25"/>
    <row r="343" spans="3:13" x14ac:dyDescent="0.25"/>
    <row r="344" spans="3:13" x14ac:dyDescent="0.25"/>
    <row r="345" spans="3:13" x14ac:dyDescent="0.25"/>
    <row r="346" spans="3:13" x14ac:dyDescent="0.25"/>
    <row r="347" spans="3:13" x14ac:dyDescent="0.25"/>
    <row r="348" spans="3:13" x14ac:dyDescent="0.25"/>
    <row r="349" spans="3:13" x14ac:dyDescent="0.25"/>
    <row r="350" spans="3:13" x14ac:dyDescent="0.25"/>
    <row r="351" spans="3:13" x14ac:dyDescent="0.25"/>
    <row r="352" spans="3:13" x14ac:dyDescent="0.25"/>
    <row r="353" spans="3:13" x14ac:dyDescent="0.25"/>
    <row r="354" spans="3:13" x14ac:dyDescent="0.25"/>
    <row r="355" spans="3:13" x14ac:dyDescent="0.25"/>
    <row r="356" spans="3:13" x14ac:dyDescent="0.25"/>
    <row r="357" spans="3:13" x14ac:dyDescent="0.25"/>
    <row r="358" spans="3:13" x14ac:dyDescent="0.25"/>
    <row r="359" spans="3:13" x14ac:dyDescent="0.25"/>
    <row r="360" spans="3:13" x14ac:dyDescent="0.25"/>
    <row r="361" spans="3:13" x14ac:dyDescent="0.25"/>
    <row r="362" spans="3:13" x14ac:dyDescent="0.25"/>
    <row r="363" spans="3:13" x14ac:dyDescent="0.25"/>
    <row r="364" spans="3:13" x14ac:dyDescent="0.25"/>
    <row r="365" spans="3:13" x14ac:dyDescent="0.25"/>
    <row r="366" spans="3:13" x14ac:dyDescent="0.25"/>
    <row r="367" spans="3:13" x14ac:dyDescent="0.25"/>
    <row r="368" spans="3:13" x14ac:dyDescent="0.25"/>
    <row r="369" spans="3:13" x14ac:dyDescent="0.25"/>
    <row r="370" spans="3:13" x14ac:dyDescent="0.25"/>
    <row r="371" spans="3:13" x14ac:dyDescent="0.25"/>
    <row r="372" spans="3:13" x14ac:dyDescent="0.25"/>
    <row r="373" spans="3:13" x14ac:dyDescent="0.25"/>
    <row r="374" spans="3:13" x14ac:dyDescent="0.25"/>
    <row r="375" spans="3:13" x14ac:dyDescent="0.25"/>
    <row r="376" spans="3:13" x14ac:dyDescent="0.25"/>
    <row r="377" spans="3:13" x14ac:dyDescent="0.25"/>
    <row r="378" spans="3:13" x14ac:dyDescent="0.25"/>
    <row r="379" spans="3:13" x14ac:dyDescent="0.25"/>
    <row r="380" spans="3:13" x14ac:dyDescent="0.25"/>
    <row r="381" spans="3:13" x14ac:dyDescent="0.25"/>
    <row r="382" spans="3:13" x14ac:dyDescent="0.25"/>
    <row r="383" spans="3:13" x14ac:dyDescent="0.25"/>
    <row r="384" spans="3:13" x14ac:dyDescent="0.25"/>
    <row r="385" spans="3:13" x14ac:dyDescent="0.25"/>
    <row r="386" spans="3:13" x14ac:dyDescent="0.25"/>
    <row r="387" spans="3:13" x14ac:dyDescent="0.25"/>
    <row r="388" spans="3:13" x14ac:dyDescent="0.25"/>
    <row r="389" spans="3:13" x14ac:dyDescent="0.25"/>
    <row r="390" spans="3:13" x14ac:dyDescent="0.25"/>
    <row r="391" spans="3:13" x14ac:dyDescent="0.25"/>
    <row r="392" spans="3:13" x14ac:dyDescent="0.25"/>
    <row r="393" spans="3:13" x14ac:dyDescent="0.25"/>
    <row r="394" spans="3:13" x14ac:dyDescent="0.25"/>
    <row r="395" spans="3:13" x14ac:dyDescent="0.25"/>
    <row r="396" spans="3:13" x14ac:dyDescent="0.25"/>
    <row r="397" spans="3:13" x14ac:dyDescent="0.25"/>
    <row r="398" spans="3:13" x14ac:dyDescent="0.25"/>
    <row r="399" spans="3:13" x14ac:dyDescent="0.25"/>
    <row r="400" spans="3:13" x14ac:dyDescent="0.25"/>
    <row r="401" spans="3:13" x14ac:dyDescent="0.25"/>
    <row r="402" spans="3:13" x14ac:dyDescent="0.25"/>
    <row r="403" spans="3:13" x14ac:dyDescent="0.25"/>
    <row r="404" spans="3:13" x14ac:dyDescent="0.25"/>
    <row r="405" spans="3:13" x14ac:dyDescent="0.25"/>
    <row r="406" spans="3:13" x14ac:dyDescent="0.25"/>
    <row r="407" spans="3:13" x14ac:dyDescent="0.25"/>
    <row r="408" spans="3:13" x14ac:dyDescent="0.25"/>
    <row r="409" spans="3:13" x14ac:dyDescent="0.25"/>
    <row r="410" spans="3:13" x14ac:dyDescent="0.25"/>
    <row r="411" spans="3:13" x14ac:dyDescent="0.25"/>
    <row r="412" spans="3:13" x14ac:dyDescent="0.25"/>
    <row r="413" spans="3:13" x14ac:dyDescent="0.25"/>
    <row r="414" spans="3:13" x14ac:dyDescent="0.25"/>
    <row r="415" spans="3:13" x14ac:dyDescent="0.25"/>
    <row r="416" spans="3:13" x14ac:dyDescent="0.25"/>
    <row r="417" spans="3:13" x14ac:dyDescent="0.25"/>
    <row r="418" spans="3:13" x14ac:dyDescent="0.25"/>
    <row r="419" spans="3:13" x14ac:dyDescent="0.25"/>
    <row r="420" spans="3:13" x14ac:dyDescent="0.25"/>
    <row r="421" spans="3:13" x14ac:dyDescent="0.25"/>
    <row r="422" spans="3:13" x14ac:dyDescent="0.25"/>
    <row r="423" spans="3:13" x14ac:dyDescent="0.25"/>
    <row r="424" spans="3:13" x14ac:dyDescent="0.25"/>
    <row r="425" spans="3:13" x14ac:dyDescent="0.25"/>
    <row r="426" spans="3:13" x14ac:dyDescent="0.25"/>
    <row r="427" spans="3:13" x14ac:dyDescent="0.25"/>
    <row r="428" spans="3:13" x14ac:dyDescent="0.25"/>
    <row r="429" spans="3:13" x14ac:dyDescent="0.25"/>
    <row r="430" spans="3:13" x14ac:dyDescent="0.25"/>
    <row r="431" spans="3:13" x14ac:dyDescent="0.25"/>
    <row r="432" spans="3:13" x14ac:dyDescent="0.25"/>
    <row r="433" spans="3:13" x14ac:dyDescent="0.25"/>
    <row r="434" spans="3:13" x14ac:dyDescent="0.25"/>
    <row r="435" spans="3:13" x14ac:dyDescent="0.25"/>
    <row r="436" spans="3:13" x14ac:dyDescent="0.25"/>
    <row r="437" spans="3:13" x14ac:dyDescent="0.25"/>
    <row r="438" spans="3:13" x14ac:dyDescent="0.25"/>
    <row r="439" spans="3:13" x14ac:dyDescent="0.25"/>
    <row r="440" spans="3:13" x14ac:dyDescent="0.25"/>
    <row r="441" spans="3:13" x14ac:dyDescent="0.25"/>
    <row r="442" spans="3:13" x14ac:dyDescent="0.25"/>
    <row r="443" spans="3:13" x14ac:dyDescent="0.25"/>
    <row r="444" spans="3:13" x14ac:dyDescent="0.25"/>
    <row r="445" spans="3:13" x14ac:dyDescent="0.25"/>
    <row r="446" spans="3:13" x14ac:dyDescent="0.25"/>
    <row r="447" spans="3:13" x14ac:dyDescent="0.25"/>
    <row r="448" spans="3:13" x14ac:dyDescent="0.25"/>
    <row r="449" spans="3:13" x14ac:dyDescent="0.25"/>
    <row r="450" spans="3:13" x14ac:dyDescent="0.25"/>
    <row r="451" spans="3:13" x14ac:dyDescent="0.25"/>
    <row r="452" spans="3:13" x14ac:dyDescent="0.25"/>
    <row r="453" spans="3:13" x14ac:dyDescent="0.25"/>
    <row r="454" spans="3:13" x14ac:dyDescent="0.25"/>
    <row r="455" spans="3:13" x14ac:dyDescent="0.25"/>
    <row r="456" spans="3:13" x14ac:dyDescent="0.25"/>
    <row r="457" spans="3:13" x14ac:dyDescent="0.25"/>
    <row r="458" spans="3:13" x14ac:dyDescent="0.25"/>
    <row r="459" spans="3:13" x14ac:dyDescent="0.25"/>
    <row r="460" spans="3:13" x14ac:dyDescent="0.25"/>
    <row r="461" spans="3:13" x14ac:dyDescent="0.25"/>
    <row r="462" spans="3:13" x14ac:dyDescent="0.25"/>
    <row r="463" spans="3:13" x14ac:dyDescent="0.25"/>
    <row r="464" spans="3:13" x14ac:dyDescent="0.25"/>
    <row r="465" spans="3:13" x14ac:dyDescent="0.25"/>
    <row r="466" spans="3:13" x14ac:dyDescent="0.25"/>
    <row r="467" spans="3:13" x14ac:dyDescent="0.25"/>
    <row r="468" spans="3:13" x14ac:dyDescent="0.25"/>
    <row r="469" spans="3:13" x14ac:dyDescent="0.25"/>
    <row r="470" spans="3:13" x14ac:dyDescent="0.25"/>
    <row r="471" spans="3:13" x14ac:dyDescent="0.25"/>
    <row r="472" spans="3:13" x14ac:dyDescent="0.25"/>
    <row r="473" spans="3:13" x14ac:dyDescent="0.25"/>
    <row r="474" spans="3:13" x14ac:dyDescent="0.25"/>
    <row r="475" spans="3:13" x14ac:dyDescent="0.25"/>
    <row r="476" spans="3:13" x14ac:dyDescent="0.25"/>
    <row r="477" spans="3:13" x14ac:dyDescent="0.25"/>
    <row r="478" spans="3:13" x14ac:dyDescent="0.25"/>
    <row r="479" spans="3:13" x14ac:dyDescent="0.25"/>
    <row r="480" spans="3:13" x14ac:dyDescent="0.25"/>
    <row r="481" spans="3:13" x14ac:dyDescent="0.25"/>
    <row r="482" spans="3:13" x14ac:dyDescent="0.25"/>
    <row r="483" spans="3:13" x14ac:dyDescent="0.25"/>
    <row r="484" spans="3:13" x14ac:dyDescent="0.25"/>
    <row r="485" spans="3:13" x14ac:dyDescent="0.25"/>
    <row r="486" spans="3:13" x14ac:dyDescent="0.25"/>
    <row r="487" spans="3:13" x14ac:dyDescent="0.25"/>
    <row r="488" spans="3:13" x14ac:dyDescent="0.25"/>
    <row r="489" spans="3:13" x14ac:dyDescent="0.25"/>
    <row r="490" spans="3:13" x14ac:dyDescent="0.25"/>
    <row r="491" spans="3:13" x14ac:dyDescent="0.25"/>
    <row r="492" spans="3:13" x14ac:dyDescent="0.25"/>
    <row r="493" spans="3:13" x14ac:dyDescent="0.25"/>
    <row r="494" spans="3:13" x14ac:dyDescent="0.25"/>
    <row r="495" spans="3:13" x14ac:dyDescent="0.25"/>
    <row r="496" spans="3:13" x14ac:dyDescent="0.25"/>
    <row r="497" spans="3:13" x14ac:dyDescent="0.25"/>
    <row r="498" spans="3:13" x14ac:dyDescent="0.25"/>
    <row r="499" spans="3:13" x14ac:dyDescent="0.25"/>
    <row r="500" spans="3:13" x14ac:dyDescent="0.25"/>
    <row r="501" spans="3:13" x14ac:dyDescent="0.25"/>
    <row r="502" spans="3:13" x14ac:dyDescent="0.25"/>
    <row r="503" spans="3:13" x14ac:dyDescent="0.25"/>
    <row r="504" spans="3:13" x14ac:dyDescent="0.25"/>
    <row r="505" spans="3:13" x14ac:dyDescent="0.25"/>
    <row r="506" spans="3:13" x14ac:dyDescent="0.25"/>
    <row r="507" spans="3:13" x14ac:dyDescent="0.25"/>
    <row r="508" spans="3:13" x14ac:dyDescent="0.25"/>
    <row r="509" spans="3:13" x14ac:dyDescent="0.25"/>
    <row r="510" spans="3:13" x14ac:dyDescent="0.25"/>
    <row r="511" spans="3:13" x14ac:dyDescent="0.25"/>
    <row r="512" spans="3:13" x14ac:dyDescent="0.25"/>
    <row r="513" spans="3:13" x14ac:dyDescent="0.25"/>
    <row r="514" spans="3:13" x14ac:dyDescent="0.25"/>
    <row r="515" spans="3:13" x14ac:dyDescent="0.25"/>
    <row r="516" spans="3:13" x14ac:dyDescent="0.25"/>
    <row r="517" spans="3:13" x14ac:dyDescent="0.25"/>
    <row r="518" spans="3:13" x14ac:dyDescent="0.25"/>
    <row r="519" spans="3:13" x14ac:dyDescent="0.25"/>
    <row r="520" spans="3:13" x14ac:dyDescent="0.25"/>
    <row r="521" spans="3:13" x14ac:dyDescent="0.25"/>
    <row r="522" spans="3:13" x14ac:dyDescent="0.25"/>
    <row r="523" spans="3:13" x14ac:dyDescent="0.25"/>
    <row r="524" spans="3:13" x14ac:dyDescent="0.25"/>
    <row r="525" spans="3:13" x14ac:dyDescent="0.25"/>
    <row r="526" spans="3:13" x14ac:dyDescent="0.25"/>
    <row r="527" spans="3:13" x14ac:dyDescent="0.25"/>
    <row r="528" spans="3:13" x14ac:dyDescent="0.25"/>
    <row r="529" spans="3:13" x14ac:dyDescent="0.25"/>
    <row r="530" spans="3:13" x14ac:dyDescent="0.25"/>
    <row r="531" spans="3:13" x14ac:dyDescent="0.25"/>
    <row r="532" spans="3:13" x14ac:dyDescent="0.25"/>
    <row r="533" spans="3:13" x14ac:dyDescent="0.25"/>
    <row r="534" spans="3:13" x14ac:dyDescent="0.25"/>
    <row r="535" spans="3:13" x14ac:dyDescent="0.25"/>
    <row r="536" spans="3:13" x14ac:dyDescent="0.25"/>
    <row r="537" spans="3:13" x14ac:dyDescent="0.25"/>
    <row r="538" spans="3:13" x14ac:dyDescent="0.25"/>
    <row r="539" spans="3:13" x14ac:dyDescent="0.25"/>
    <row r="540" spans="3:13" x14ac:dyDescent="0.25"/>
    <row r="541" spans="3:13" x14ac:dyDescent="0.25"/>
    <row r="542" spans="3:13" x14ac:dyDescent="0.25"/>
    <row r="543" spans="3:13" x14ac:dyDescent="0.25"/>
    <row r="544" spans="3:13" x14ac:dyDescent="0.25"/>
    <row r="545" spans="3:13" x14ac:dyDescent="0.25"/>
    <row r="546" spans="3:13" x14ac:dyDescent="0.25"/>
    <row r="547" spans="3:13" x14ac:dyDescent="0.25"/>
    <row r="548" spans="3:13" x14ac:dyDescent="0.25"/>
    <row r="549" spans="3:13" x14ac:dyDescent="0.25"/>
    <row r="550" spans="3:13" x14ac:dyDescent="0.25"/>
    <row r="551" spans="3:13" x14ac:dyDescent="0.25"/>
    <row r="552" spans="3:13" x14ac:dyDescent="0.25"/>
    <row r="553" spans="3:13" x14ac:dyDescent="0.25"/>
    <row r="554" spans="3:13" x14ac:dyDescent="0.25"/>
    <row r="555" spans="3:13" x14ac:dyDescent="0.25"/>
    <row r="556" spans="3:13" x14ac:dyDescent="0.25"/>
    <row r="557" spans="3:13" x14ac:dyDescent="0.25"/>
    <row r="558" spans="3:13" x14ac:dyDescent="0.25"/>
    <row r="559" spans="3:13" x14ac:dyDescent="0.25"/>
    <row r="560" spans="3:13" x14ac:dyDescent="0.25"/>
    <row r="561" spans="3:13" x14ac:dyDescent="0.25"/>
    <row r="562" spans="3:13" x14ac:dyDescent="0.25"/>
    <row r="563" spans="3:13" x14ac:dyDescent="0.25"/>
    <row r="564" spans="3:13" x14ac:dyDescent="0.25"/>
    <row r="565" spans="3:13" x14ac:dyDescent="0.25"/>
    <row r="566" spans="3:13" x14ac:dyDescent="0.25"/>
    <row r="567" spans="3:13" x14ac:dyDescent="0.25"/>
    <row r="568" spans="3:13" x14ac:dyDescent="0.25"/>
    <row r="569" spans="3:13" x14ac:dyDescent="0.25"/>
    <row r="570" spans="3:13" x14ac:dyDescent="0.25"/>
    <row r="571" spans="3:13" x14ac:dyDescent="0.25"/>
    <row r="572" spans="3:13" x14ac:dyDescent="0.25"/>
    <row r="573" spans="3:13" x14ac:dyDescent="0.25"/>
    <row r="574" spans="3:13" x14ac:dyDescent="0.25"/>
    <row r="575" spans="3:13" x14ac:dyDescent="0.25"/>
    <row r="576" spans="3:13" x14ac:dyDescent="0.25"/>
    <row r="577" spans="3:13" x14ac:dyDescent="0.25"/>
    <row r="578" spans="3:13" x14ac:dyDescent="0.25"/>
    <row r="579" spans="3:13" x14ac:dyDescent="0.25"/>
    <row r="580" spans="3:13" x14ac:dyDescent="0.25"/>
    <row r="581" spans="3:13" x14ac:dyDescent="0.25"/>
    <row r="582" spans="3:13" x14ac:dyDescent="0.25"/>
    <row r="583" spans="3:13" x14ac:dyDescent="0.25"/>
    <row r="584" spans="3:13" x14ac:dyDescent="0.25"/>
    <row r="585" spans="3:13" x14ac:dyDescent="0.25"/>
    <row r="586" spans="3:13" x14ac:dyDescent="0.25"/>
    <row r="587" spans="3:13" x14ac:dyDescent="0.25"/>
    <row r="588" spans="3:13" x14ac:dyDescent="0.25"/>
    <row r="589" spans="3:13" x14ac:dyDescent="0.25"/>
    <row r="590" spans="3:13" x14ac:dyDescent="0.25"/>
    <row r="591" spans="3:13" x14ac:dyDescent="0.25"/>
    <row r="592" spans="3:13" x14ac:dyDescent="0.25"/>
    <row r="593" spans="3:13" x14ac:dyDescent="0.25"/>
    <row r="594" spans="3:13" x14ac:dyDescent="0.25"/>
    <row r="595" spans="3:13" x14ac:dyDescent="0.25"/>
    <row r="596" spans="3:13" x14ac:dyDescent="0.25"/>
    <row r="597" spans="3:13" x14ac:dyDescent="0.25"/>
    <row r="598" spans="3:13" x14ac:dyDescent="0.25"/>
    <row r="599" spans="3:13" x14ac:dyDescent="0.25"/>
    <row r="600" spans="3:13" x14ac:dyDescent="0.25"/>
    <row r="601" spans="3:13" x14ac:dyDescent="0.25"/>
    <row r="602" spans="3:13" x14ac:dyDescent="0.25"/>
    <row r="603" spans="3:13" x14ac:dyDescent="0.25"/>
    <row r="604" spans="3:13" x14ac:dyDescent="0.25"/>
    <row r="605" spans="3:13" x14ac:dyDescent="0.25"/>
    <row r="606" spans="3:13" x14ac:dyDescent="0.25"/>
    <row r="607" spans="3:13" x14ac:dyDescent="0.25"/>
    <row r="608" spans="3:13" x14ac:dyDescent="0.25"/>
    <row r="609" spans="3:13" x14ac:dyDescent="0.25"/>
    <row r="610" spans="3:13" x14ac:dyDescent="0.25"/>
    <row r="611" spans="3:13" x14ac:dyDescent="0.25"/>
    <row r="612" spans="3:13" x14ac:dyDescent="0.25"/>
    <row r="613" spans="3:13" x14ac:dyDescent="0.25"/>
    <row r="614" spans="3:13" x14ac:dyDescent="0.25"/>
    <row r="615" spans="3:13" x14ac:dyDescent="0.25"/>
    <row r="616" spans="3:13" x14ac:dyDescent="0.25"/>
    <row r="617" spans="3:13" x14ac:dyDescent="0.25"/>
    <row r="618" spans="3:13" x14ac:dyDescent="0.25"/>
    <row r="619" spans="3:13" x14ac:dyDescent="0.25"/>
    <row r="620" spans="3:13" x14ac:dyDescent="0.25"/>
  </sheetData>
  <autoFilter ref="A1:O1"/>
  <dataValidations count="6">
    <dataValidation type="list" allowBlank="1" sqref="C10:C620">
      <formula1>=Lists!$A$2:$A$4</formula1>
    </dataValidation>
    <dataValidation type="list" allowBlank="1" sqref="C2:C620">
      <formula1>=Lists!$A$2:$A$4</formula1>
    </dataValidation>
    <dataValidation type="list" allowBlank="1" sqref="D10:D620">
      <formula1>=Lists!$B$2:$B$3</formula1>
    </dataValidation>
    <dataValidation type="list" allowBlank="1" sqref="D2:D620">
      <formula1>=Lists!$B$2:$B$3</formula1>
    </dataValidation>
    <dataValidation type="list" allowBlank="1" sqref="K10:M620">
      <formula1>=Lists!$C$2:$C$10</formula1>
    </dataValidation>
    <dataValidation type="list" allowBlank="1" sqref="K2:M620">
      <formula1>=Lists!$C$2:$C$10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Lists</vt:lpstr>
      <vt:lpstr>PokemonRef</vt:lpstr>
      <vt:lpstr>Encounters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2026-03-10T09:03:56Z</dcterms:created>
  <dcterms:modified xsi:type="dcterms:W3CDTF">2026-03-10T09:03:56Z</dcterms:modified>
</cp:coreProperties>
</file>